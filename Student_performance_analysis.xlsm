
<file path=[Content_Types].xml><?xml version="1.0" encoding="utf-8"?>
<Types xmlns="http://schemas.openxmlformats.org/package/2006/content-types"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240" yWindow="30" windowWidth="20115" windowHeight="8010"/>
  </bookViews>
  <sheets>
    <sheet name="pivot_tables" sheetId="4" r:id="rId1"/>
    <sheet name="student_performance_datasheet" sheetId="1" r:id="rId2"/>
    <sheet name="EDA Dashboard" sheetId="2" r:id="rId3"/>
  </sheets>
  <definedNames>
    <definedName name="_xlnm._FilterDatabase" localSheetId="0" hidden="1">pivot_tables!$A$3:$A$7</definedName>
  </definedNames>
  <calcPr calcId="125725"/>
  <pivotCaches>
    <pivotCache cacheId="0" r:id="rId4"/>
    <pivotCache cacheId="1" r:id="rId5"/>
  </pivotCaches>
</workbook>
</file>

<file path=xl/calcChain.xml><?xml version="1.0" encoding="utf-8"?>
<calcChain xmlns="http://schemas.openxmlformats.org/spreadsheetml/2006/main">
  <c r="K2" i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</calcChain>
</file>

<file path=xl/sharedStrings.xml><?xml version="1.0" encoding="utf-8"?>
<sst xmlns="http://schemas.openxmlformats.org/spreadsheetml/2006/main" count="1301" uniqueCount="282">
  <si>
    <t>student_id</t>
  </si>
  <si>
    <t>math_score</t>
  </si>
  <si>
    <t>science_score</t>
  </si>
  <si>
    <t>english_score</t>
  </si>
  <si>
    <t>attendance_percent</t>
  </si>
  <si>
    <t>gender</t>
  </si>
  <si>
    <t>grade_level</t>
  </si>
  <si>
    <t>study_group</t>
  </si>
  <si>
    <t>extra_curricular</t>
  </si>
  <si>
    <t>S2000</t>
  </si>
  <si>
    <t>Male</t>
  </si>
  <si>
    <t>Grade 10</t>
  </si>
  <si>
    <t>Group B</t>
  </si>
  <si>
    <t>Sports</t>
  </si>
  <si>
    <t>S2001</t>
  </si>
  <si>
    <t>Female</t>
  </si>
  <si>
    <t>Group C</t>
  </si>
  <si>
    <t>S2002</t>
  </si>
  <si>
    <t>Grade 11</t>
  </si>
  <si>
    <t>Group A</t>
  </si>
  <si>
    <t>Music</t>
  </si>
  <si>
    <t>S2003</t>
  </si>
  <si>
    <t>Grade 9</t>
  </si>
  <si>
    <t>S2004</t>
  </si>
  <si>
    <t>S2005</t>
  </si>
  <si>
    <t>Art</t>
  </si>
  <si>
    <t>S2006</t>
  </si>
  <si>
    <t>S2007</t>
  </si>
  <si>
    <t>S2008</t>
  </si>
  <si>
    <t>S2009</t>
  </si>
  <si>
    <t>Grade 12</t>
  </si>
  <si>
    <t>S2010</t>
  </si>
  <si>
    <t>S2011</t>
  </si>
  <si>
    <t>S2012</t>
  </si>
  <si>
    <t>S2013</t>
  </si>
  <si>
    <t>None</t>
  </si>
  <si>
    <t>S2014</t>
  </si>
  <si>
    <t>S2015</t>
  </si>
  <si>
    <t>S2016</t>
  </si>
  <si>
    <t>S2017</t>
  </si>
  <si>
    <t>S2018</t>
  </si>
  <si>
    <t>S2019</t>
  </si>
  <si>
    <t>S2020</t>
  </si>
  <si>
    <t>S2021</t>
  </si>
  <si>
    <t>S2022</t>
  </si>
  <si>
    <t>S2023</t>
  </si>
  <si>
    <t>S2024</t>
  </si>
  <si>
    <t>S2025</t>
  </si>
  <si>
    <t>S2026</t>
  </si>
  <si>
    <t>S2027</t>
  </si>
  <si>
    <t>S2028</t>
  </si>
  <si>
    <t>S2029</t>
  </si>
  <si>
    <t>S2030</t>
  </si>
  <si>
    <t>S2031</t>
  </si>
  <si>
    <t>S2032</t>
  </si>
  <si>
    <t>S2033</t>
  </si>
  <si>
    <t>S2034</t>
  </si>
  <si>
    <t>S2035</t>
  </si>
  <si>
    <t>S2036</t>
  </si>
  <si>
    <t>S2037</t>
  </si>
  <si>
    <t>S2038</t>
  </si>
  <si>
    <t>S2039</t>
  </si>
  <si>
    <t>S2040</t>
  </si>
  <si>
    <t>S2041</t>
  </si>
  <si>
    <t>S2042</t>
  </si>
  <si>
    <t>S2043</t>
  </si>
  <si>
    <t>S2044</t>
  </si>
  <si>
    <t>S2045</t>
  </si>
  <si>
    <t>S2046</t>
  </si>
  <si>
    <t>S2047</t>
  </si>
  <si>
    <t>S2048</t>
  </si>
  <si>
    <t>S2049</t>
  </si>
  <si>
    <t>S2050</t>
  </si>
  <si>
    <t>S2051</t>
  </si>
  <si>
    <t>S2052</t>
  </si>
  <si>
    <t>S2053</t>
  </si>
  <si>
    <t>S2054</t>
  </si>
  <si>
    <t>S2055</t>
  </si>
  <si>
    <t>S2056</t>
  </si>
  <si>
    <t>S2057</t>
  </si>
  <si>
    <t>S2058</t>
  </si>
  <si>
    <t>S2059</t>
  </si>
  <si>
    <t>S2060</t>
  </si>
  <si>
    <t>S2061</t>
  </si>
  <si>
    <t>S2062</t>
  </si>
  <si>
    <t>S2063</t>
  </si>
  <si>
    <t>S2064</t>
  </si>
  <si>
    <t>S2065</t>
  </si>
  <si>
    <t>S2066</t>
  </si>
  <si>
    <t>S2067</t>
  </si>
  <si>
    <t>S2068</t>
  </si>
  <si>
    <t>S2069</t>
  </si>
  <si>
    <t>S2070</t>
  </si>
  <si>
    <t>S2071</t>
  </si>
  <si>
    <t>S2072</t>
  </si>
  <si>
    <t>S2073</t>
  </si>
  <si>
    <t>S2074</t>
  </si>
  <si>
    <t>S2075</t>
  </si>
  <si>
    <t>S2076</t>
  </si>
  <si>
    <t>S2077</t>
  </si>
  <si>
    <t>S2078</t>
  </si>
  <si>
    <t>S2079</t>
  </si>
  <si>
    <t>S2080</t>
  </si>
  <si>
    <t>S2081</t>
  </si>
  <si>
    <t>S2082</t>
  </si>
  <si>
    <t>S2083</t>
  </si>
  <si>
    <t>S2084</t>
  </si>
  <si>
    <t>S2085</t>
  </si>
  <si>
    <t>S2086</t>
  </si>
  <si>
    <t>S2087</t>
  </si>
  <si>
    <t>S2088</t>
  </si>
  <si>
    <t>S2089</t>
  </si>
  <si>
    <t>S2090</t>
  </si>
  <si>
    <t>S2091</t>
  </si>
  <si>
    <t>S2092</t>
  </si>
  <si>
    <t>S2093</t>
  </si>
  <si>
    <t>S2094</t>
  </si>
  <si>
    <t>S2095</t>
  </si>
  <si>
    <t>S2096</t>
  </si>
  <si>
    <t>S2097</t>
  </si>
  <si>
    <t>S2098</t>
  </si>
  <si>
    <t>S2099</t>
  </si>
  <si>
    <t>S2100</t>
  </si>
  <si>
    <t>S2101</t>
  </si>
  <si>
    <t>S2102</t>
  </si>
  <si>
    <t>S2103</t>
  </si>
  <si>
    <t>S2104</t>
  </si>
  <si>
    <t>S2105</t>
  </si>
  <si>
    <t>S2106</t>
  </si>
  <si>
    <t>S2107</t>
  </si>
  <si>
    <t>S2108</t>
  </si>
  <si>
    <t>S2109</t>
  </si>
  <si>
    <t>S2110</t>
  </si>
  <si>
    <t>S2111</t>
  </si>
  <si>
    <t>S2112</t>
  </si>
  <si>
    <t>S2113</t>
  </si>
  <si>
    <t>S2114</t>
  </si>
  <si>
    <t>S2115</t>
  </si>
  <si>
    <t>S2116</t>
  </si>
  <si>
    <t>S2117</t>
  </si>
  <si>
    <t>S2118</t>
  </si>
  <si>
    <t>S2119</t>
  </si>
  <si>
    <t>S2120</t>
  </si>
  <si>
    <t>S2121</t>
  </si>
  <si>
    <t>S2122</t>
  </si>
  <si>
    <t>S2123</t>
  </si>
  <si>
    <t>S2124</t>
  </si>
  <si>
    <t>S2125</t>
  </si>
  <si>
    <t>S2126</t>
  </si>
  <si>
    <t>S2127</t>
  </si>
  <si>
    <t>S2128</t>
  </si>
  <si>
    <t>S2129</t>
  </si>
  <si>
    <t>S2130</t>
  </si>
  <si>
    <t>S2131</t>
  </si>
  <si>
    <t>S2132</t>
  </si>
  <si>
    <t>S2133</t>
  </si>
  <si>
    <t>S2134</t>
  </si>
  <si>
    <t>S2135</t>
  </si>
  <si>
    <t>S2136</t>
  </si>
  <si>
    <t>S2137</t>
  </si>
  <si>
    <t>S2138</t>
  </si>
  <si>
    <t>S2139</t>
  </si>
  <si>
    <t>S2140</t>
  </si>
  <si>
    <t>S2141</t>
  </si>
  <si>
    <t>S2142</t>
  </si>
  <si>
    <t>S2143</t>
  </si>
  <si>
    <t>S2144</t>
  </si>
  <si>
    <t>S2145</t>
  </si>
  <si>
    <t>S2146</t>
  </si>
  <si>
    <t>S2147</t>
  </si>
  <si>
    <t>S2148</t>
  </si>
  <si>
    <t>S2149</t>
  </si>
  <si>
    <t>S2150</t>
  </si>
  <si>
    <t>S2151</t>
  </si>
  <si>
    <t>S2152</t>
  </si>
  <si>
    <t>S2153</t>
  </si>
  <si>
    <t>S2154</t>
  </si>
  <si>
    <t>S2155</t>
  </si>
  <si>
    <t>S2156</t>
  </si>
  <si>
    <t>S2157</t>
  </si>
  <si>
    <t>S2158</t>
  </si>
  <si>
    <t>S2159</t>
  </si>
  <si>
    <t>S2160</t>
  </si>
  <si>
    <t>S2161</t>
  </si>
  <si>
    <t>S2162</t>
  </si>
  <si>
    <t>S2163</t>
  </si>
  <si>
    <t>S2164</t>
  </si>
  <si>
    <t>S2165</t>
  </si>
  <si>
    <t>S2166</t>
  </si>
  <si>
    <t>S2167</t>
  </si>
  <si>
    <t>S2168</t>
  </si>
  <si>
    <t>S2169</t>
  </si>
  <si>
    <t>S2170</t>
  </si>
  <si>
    <t>S2171</t>
  </si>
  <si>
    <t>S2172</t>
  </si>
  <si>
    <t>S2173</t>
  </si>
  <si>
    <t>S2174</t>
  </si>
  <si>
    <t>S2175</t>
  </si>
  <si>
    <t>S2176</t>
  </si>
  <si>
    <t>S2177</t>
  </si>
  <si>
    <t>S2178</t>
  </si>
  <si>
    <t>S2179</t>
  </si>
  <si>
    <t>S2180</t>
  </si>
  <si>
    <t>S2181</t>
  </si>
  <si>
    <t>S2182</t>
  </si>
  <si>
    <t>S2183</t>
  </si>
  <si>
    <t>S2184</t>
  </si>
  <si>
    <t>S2185</t>
  </si>
  <si>
    <t>S2186</t>
  </si>
  <si>
    <t>S2187</t>
  </si>
  <si>
    <t>S2188</t>
  </si>
  <si>
    <t>S2189</t>
  </si>
  <si>
    <t>S2190</t>
  </si>
  <si>
    <t>S2191</t>
  </si>
  <si>
    <t>S2192</t>
  </si>
  <si>
    <t>S2193</t>
  </si>
  <si>
    <t>S2194</t>
  </si>
  <si>
    <t>S2195</t>
  </si>
  <si>
    <t>S2196</t>
  </si>
  <si>
    <t>S2197</t>
  </si>
  <si>
    <t>S2198</t>
  </si>
  <si>
    <t>S2199</t>
  </si>
  <si>
    <t>S2200</t>
  </si>
  <si>
    <t>S2201</t>
  </si>
  <si>
    <t>S2202</t>
  </si>
  <si>
    <t>S2203</t>
  </si>
  <si>
    <t>S2204</t>
  </si>
  <si>
    <t>S2205</t>
  </si>
  <si>
    <t>S2206</t>
  </si>
  <si>
    <t>S2207</t>
  </si>
  <si>
    <t>S2208</t>
  </si>
  <si>
    <t>S2209</t>
  </si>
  <si>
    <t>S2210</t>
  </si>
  <si>
    <t>S2211</t>
  </si>
  <si>
    <t>S2212</t>
  </si>
  <si>
    <t>S2213</t>
  </si>
  <si>
    <t>S2214</t>
  </si>
  <si>
    <t>S2215</t>
  </si>
  <si>
    <t>S2216</t>
  </si>
  <si>
    <t>S2217</t>
  </si>
  <si>
    <t>S2218</t>
  </si>
  <si>
    <t>S2219</t>
  </si>
  <si>
    <t>S2220</t>
  </si>
  <si>
    <t>S2221</t>
  </si>
  <si>
    <t>S2222</t>
  </si>
  <si>
    <t>S2223</t>
  </si>
  <si>
    <t>S2224</t>
  </si>
  <si>
    <t>S2225</t>
  </si>
  <si>
    <t>S2226</t>
  </si>
  <si>
    <t>S2227</t>
  </si>
  <si>
    <t>S2228</t>
  </si>
  <si>
    <t>S2229</t>
  </si>
  <si>
    <t>S2230</t>
  </si>
  <si>
    <t>S2231</t>
  </si>
  <si>
    <t>S2232</t>
  </si>
  <si>
    <t>S2233</t>
  </si>
  <si>
    <t>S2234</t>
  </si>
  <si>
    <t>S2235</t>
  </si>
  <si>
    <t>S2236</t>
  </si>
  <si>
    <t>S2237</t>
  </si>
  <si>
    <t>S2238</t>
  </si>
  <si>
    <t>S2239</t>
  </si>
  <si>
    <t>S2240</t>
  </si>
  <si>
    <t>S2241</t>
  </si>
  <si>
    <t>S2242</t>
  </si>
  <si>
    <t>S2243</t>
  </si>
  <si>
    <t>S2244</t>
  </si>
  <si>
    <t>S2245</t>
  </si>
  <si>
    <t>S2246</t>
  </si>
  <si>
    <t>S2247</t>
  </si>
  <si>
    <t>S2248</t>
  </si>
  <si>
    <t>S2249</t>
  </si>
  <si>
    <t>Students Count</t>
  </si>
  <si>
    <t>Average of science_score</t>
  </si>
  <si>
    <t>Average of english_score</t>
  </si>
  <si>
    <t>Average of math_score</t>
  </si>
  <si>
    <t>Average of attendance_percent</t>
  </si>
  <si>
    <t>Row Labels</t>
  </si>
  <si>
    <t>Grand Total</t>
  </si>
  <si>
    <t>Values</t>
  </si>
  <si>
    <t>total_marks</t>
  </si>
  <si>
    <t>score_percentage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</si>
</sst>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NumberFormat="1"/>
    <xf numFmtId="0" fontId="2" fillId="2" borderId="1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3" fillId="0" borderId="0" xfId="0" applyFont="1" applyAlignment="1">
      <alignment vertical="center"/>
    </xf>
    <xf numFmtId="0" fontId="3" fillId="0" borderId="0" xfId="0" applyNumberFormat="1" applyFont="1" applyAlignment="1">
      <alignment vertical="center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general" vertical="center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Avg.</a:t>
            </a:r>
            <a:r>
              <a:rPr lang="en-US" baseline="0"/>
              <a:t> Attendance %</a:t>
            </a:r>
            <a:endParaRPr lang="en-US"/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Lbls>
            <c:showPercent val="1"/>
            <c:showLeaderLines val="1"/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9285.52</c:v>
              </c:pt>
              <c:pt idx="1">
                <c:v>10753.43</c:v>
              </c:pt>
            </c:numLit>
          </c:val>
        </c:ser>
        <c:dLbls>
          <c:showPercent val="1"/>
        </c:dLbls>
        <c:firstSliceAng val="0"/>
      </c:pieChart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(Repaired).xlsm]pivot_tables!PivotTable7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</a:t>
            </a:r>
            <a:r>
              <a:rPr lang="en-US" baseline="0"/>
              <a:t> % by Grade Level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pivot_tables!$B$21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pivot_tables!$A$22:$A$26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pivot_tables!$B$22:$B$26</c:f>
              <c:numCache>
                <c:formatCode>General</c:formatCode>
                <c:ptCount val="4"/>
                <c:pt idx="0">
                  <c:v>79.583880597014911</c:v>
                </c:pt>
                <c:pt idx="1">
                  <c:v>80.297619047619065</c:v>
                </c:pt>
                <c:pt idx="2">
                  <c:v>78.126724137931021</c:v>
                </c:pt>
                <c:pt idx="3">
                  <c:v>82.527903225806455</c:v>
                </c:pt>
              </c:numCache>
            </c:numRef>
          </c:val>
        </c:ser>
        <c:axId val="158867456"/>
        <c:axId val="158868992"/>
      </c:barChart>
      <c:catAx>
        <c:axId val="158867456"/>
        <c:scaling>
          <c:orientation val="minMax"/>
        </c:scaling>
        <c:axPos val="b"/>
        <c:tickLblPos val="nextTo"/>
        <c:crossAx val="158868992"/>
        <c:crosses val="autoZero"/>
        <c:auto val="1"/>
        <c:lblAlgn val="ctr"/>
        <c:lblOffset val="100"/>
      </c:catAx>
      <c:valAx>
        <c:axId val="158868992"/>
        <c:scaling>
          <c:orientation val="minMax"/>
        </c:scaling>
        <c:axPos val="l"/>
        <c:majorGridlines/>
        <c:numFmt formatCode="General" sourceLinked="1"/>
        <c:tickLblPos val="nextTo"/>
        <c:crossAx val="158867456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(Repaired).xlsm]pivot_tables!PivotTable10</c:name>
    <c:fmtId val="7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 % by Study Group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pivot_tables!$B$33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pivot_tables!$A$34:$A$37</c:f>
              <c:strCache>
                <c:ptCount val="3"/>
                <c:pt idx="0">
                  <c:v>Group A</c:v>
                </c:pt>
                <c:pt idx="1">
                  <c:v>Group B</c:v>
                </c:pt>
                <c:pt idx="2">
                  <c:v>Group C</c:v>
                </c:pt>
              </c:strCache>
            </c:strRef>
          </c:cat>
          <c:val>
            <c:numRef>
              <c:f>pivot_tables!$B$34:$B$37</c:f>
              <c:numCache>
                <c:formatCode>General</c:formatCode>
                <c:ptCount val="3"/>
                <c:pt idx="0">
                  <c:v>80.369878048780464</c:v>
                </c:pt>
                <c:pt idx="1">
                  <c:v>79.606046511627909</c:v>
                </c:pt>
                <c:pt idx="2">
                  <c:v>80.518292682926841</c:v>
                </c:pt>
              </c:numCache>
            </c:numRef>
          </c:val>
        </c:ser>
        <c:axId val="158886528"/>
        <c:axId val="158884992"/>
      </c:barChart>
      <c:valAx>
        <c:axId val="158884992"/>
        <c:scaling>
          <c:orientation val="minMax"/>
        </c:scaling>
        <c:axPos val="b"/>
        <c:majorGridlines/>
        <c:numFmt formatCode="General" sourceLinked="1"/>
        <c:tickLblPos val="nextTo"/>
        <c:crossAx val="158886528"/>
        <c:crosses val="autoZero"/>
        <c:crossBetween val="between"/>
      </c:valAx>
      <c:catAx>
        <c:axId val="158886528"/>
        <c:scaling>
          <c:orientation val="minMax"/>
        </c:scaling>
        <c:axPos val="l"/>
        <c:tickLblPos val="nextTo"/>
        <c:crossAx val="158884992"/>
        <c:crosses val="autoZero"/>
        <c:auto val="1"/>
        <c:lblAlgn val="ctr"/>
        <c:lblOffset val="100"/>
      </c:cat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(Repaired).xlsm]pivot_tables!PivotTable11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</a:t>
            </a:r>
            <a:r>
              <a:rPr lang="en-US" baseline="0"/>
              <a:t> % by Extracurricuar</a:t>
            </a:r>
            <a:endParaRPr lang="en-US"/>
          </a:p>
        </c:rich>
      </c:tx>
      <c:layout/>
    </c:title>
    <c:pivotFmts>
      <c:pivotFmt>
        <c:idx val="0"/>
      </c:pivotFmt>
    </c:pivotFmts>
    <c:plotArea>
      <c:layout/>
      <c:radarChart>
        <c:radarStyle val="marker"/>
        <c:ser>
          <c:idx val="0"/>
          <c:order val="0"/>
          <c:tx>
            <c:strRef>
              <c:f>pivot_tables!$B$39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pivot_tables!$A$40:$A$44</c:f>
              <c:strCache>
                <c:ptCount val="4"/>
                <c:pt idx="0">
                  <c:v>Art</c:v>
                </c:pt>
                <c:pt idx="1">
                  <c:v>Music</c:v>
                </c:pt>
                <c:pt idx="2">
                  <c:v>None</c:v>
                </c:pt>
                <c:pt idx="3">
                  <c:v>Sports</c:v>
                </c:pt>
              </c:strCache>
            </c:strRef>
          </c:cat>
          <c:val>
            <c:numRef>
              <c:f>pivot_tables!$B$40:$B$44</c:f>
              <c:numCache>
                <c:formatCode>General</c:formatCode>
                <c:ptCount val="4"/>
                <c:pt idx="0">
                  <c:v>80.953943661971806</c:v>
                </c:pt>
                <c:pt idx="1">
                  <c:v>80.468135593220339</c:v>
                </c:pt>
                <c:pt idx="2">
                  <c:v>78.496296296296322</c:v>
                </c:pt>
                <c:pt idx="3">
                  <c:v>80.375757575757589</c:v>
                </c:pt>
              </c:numCache>
            </c:numRef>
          </c:val>
        </c:ser>
        <c:axId val="158902528"/>
        <c:axId val="158920704"/>
      </c:radarChart>
      <c:catAx>
        <c:axId val="158902528"/>
        <c:scaling>
          <c:orientation val="minMax"/>
        </c:scaling>
        <c:axPos val="b"/>
        <c:majorGridlines/>
        <c:tickLblPos val="nextTo"/>
        <c:crossAx val="158920704"/>
        <c:crosses val="autoZero"/>
        <c:auto val="1"/>
        <c:lblAlgn val="ctr"/>
        <c:lblOffset val="100"/>
      </c:catAx>
      <c:valAx>
        <c:axId val="158920704"/>
        <c:scaling>
          <c:orientation val="minMax"/>
        </c:scaling>
        <c:axPos val="l"/>
        <c:majorGridlines/>
        <c:numFmt formatCode="General" sourceLinked="1"/>
        <c:tickLblPos val="nextTo"/>
        <c:crossAx val="158902528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(Repaired).xlsm]pivot_tables!PivotTable5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pivot_tables!$B$47:$B$48</c:f>
              <c:strCache>
                <c:ptCount val="1"/>
                <c:pt idx="0">
                  <c:v>Average of math_score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pivot_tables!$B$49:$B$53</c:f>
              <c:numCache>
                <c:formatCode>General</c:formatCode>
                <c:ptCount val="4"/>
                <c:pt idx="0">
                  <c:v>68.447761194029852</c:v>
                </c:pt>
                <c:pt idx="1">
                  <c:v>68.761904761904759</c:v>
                </c:pt>
                <c:pt idx="2">
                  <c:v>76.793103448275858</c:v>
                </c:pt>
                <c:pt idx="3">
                  <c:v>66.225806451612897</c:v>
                </c:pt>
              </c:numCache>
            </c:numRef>
          </c:val>
        </c:ser>
        <c:ser>
          <c:idx val="1"/>
          <c:order val="1"/>
          <c:tx>
            <c:strRef>
              <c:f>pivot_tables!$C$47:$C$48</c:f>
              <c:strCache>
                <c:ptCount val="1"/>
                <c:pt idx="0">
                  <c:v>Average of english_score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pivot_tables!$C$49:$C$53</c:f>
              <c:numCache>
                <c:formatCode>General</c:formatCode>
                <c:ptCount val="4"/>
                <c:pt idx="0">
                  <c:v>69.462686567164184</c:v>
                </c:pt>
                <c:pt idx="1">
                  <c:v>70.587301587301582</c:v>
                </c:pt>
                <c:pt idx="2">
                  <c:v>72.758620689655174</c:v>
                </c:pt>
                <c:pt idx="3">
                  <c:v>66.677419354838705</c:v>
                </c:pt>
              </c:numCache>
            </c:numRef>
          </c:val>
        </c:ser>
        <c:ser>
          <c:idx val="2"/>
          <c:order val="2"/>
          <c:tx>
            <c:strRef>
              <c:f>pivot_tables!$D$47:$D$48</c:f>
              <c:strCache>
                <c:ptCount val="1"/>
                <c:pt idx="0">
                  <c:v>Average of science_score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pivot_tables!$D$49:$D$53</c:f>
              <c:numCache>
                <c:formatCode>General</c:formatCode>
                <c:ptCount val="4"/>
                <c:pt idx="0">
                  <c:v>68.492537313432834</c:v>
                </c:pt>
                <c:pt idx="1">
                  <c:v>69.650793650793645</c:v>
                </c:pt>
                <c:pt idx="2">
                  <c:v>70.58620689655173</c:v>
                </c:pt>
                <c:pt idx="3">
                  <c:v>70.758064516129039</c:v>
                </c:pt>
              </c:numCache>
            </c:numRef>
          </c:val>
        </c:ser>
        <c:axId val="160115328"/>
        <c:axId val="160125312"/>
      </c:barChart>
      <c:catAx>
        <c:axId val="160115328"/>
        <c:scaling>
          <c:orientation val="minMax"/>
        </c:scaling>
        <c:axPos val="b"/>
        <c:tickLblPos val="nextTo"/>
        <c:crossAx val="160125312"/>
        <c:crosses val="autoZero"/>
        <c:auto val="1"/>
        <c:lblAlgn val="ctr"/>
        <c:lblOffset val="100"/>
      </c:catAx>
      <c:valAx>
        <c:axId val="160125312"/>
        <c:scaling>
          <c:orientation val="minMax"/>
        </c:scaling>
        <c:axPos val="l"/>
        <c:majorGridlines/>
        <c:numFmt formatCode="General" sourceLinked="1"/>
        <c:tickLblPos val="nextTo"/>
        <c:crossAx val="160115328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Avg.</a:t>
            </a:r>
            <a:r>
              <a:rPr lang="en-US" baseline="0"/>
              <a:t> Attendance %</a:t>
            </a:r>
            <a:endParaRPr lang="en-US"/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Percent val="1"/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Lbls>
            <c:showPercent val="1"/>
            <c:showLeaderLines val="1"/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9285.52</c:v>
              </c:pt>
              <c:pt idx="1">
                <c:v>10753.43</c:v>
              </c:pt>
            </c:numLit>
          </c:val>
        </c:ser>
        <c:dLbls>
          <c:showPercent val="1"/>
        </c:dLbls>
        <c:firstSliceAng val="0"/>
      </c:pieChart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(Repaired).xlsm]pivot_tables!PivotTable7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</a:t>
            </a:r>
            <a:r>
              <a:rPr lang="en-US" baseline="0"/>
              <a:t> % by Grade Level</a:t>
            </a:r>
            <a:endParaRPr lang="en-US"/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pivot_tables!$B$21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pivot_tables!$A$22:$A$26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pivot_tables!$B$22:$B$26</c:f>
              <c:numCache>
                <c:formatCode>General</c:formatCode>
                <c:ptCount val="4"/>
                <c:pt idx="0">
                  <c:v>79.583880597014911</c:v>
                </c:pt>
                <c:pt idx="1">
                  <c:v>80.297619047619065</c:v>
                </c:pt>
                <c:pt idx="2">
                  <c:v>78.126724137931021</c:v>
                </c:pt>
                <c:pt idx="3">
                  <c:v>82.527903225806455</c:v>
                </c:pt>
              </c:numCache>
            </c:numRef>
          </c:val>
        </c:ser>
        <c:axId val="160417664"/>
        <c:axId val="160419200"/>
      </c:barChart>
      <c:catAx>
        <c:axId val="160417664"/>
        <c:scaling>
          <c:orientation val="minMax"/>
        </c:scaling>
        <c:axPos val="b"/>
        <c:tickLblPos val="nextTo"/>
        <c:crossAx val="160419200"/>
        <c:crosses val="autoZero"/>
        <c:auto val="1"/>
        <c:lblAlgn val="ctr"/>
        <c:lblOffset val="100"/>
      </c:catAx>
      <c:valAx>
        <c:axId val="160419200"/>
        <c:scaling>
          <c:orientation val="minMax"/>
        </c:scaling>
        <c:axPos val="l"/>
        <c:majorGridlines/>
        <c:numFmt formatCode="General" sourceLinked="1"/>
        <c:tickLblPos val="nextTo"/>
        <c:crossAx val="160417664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(Repaired).xlsm]pivot_tables!PivotTable10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 % by Study Group</a:t>
            </a:r>
          </a:p>
        </c:rich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pivot_tables!$B$33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pivot_tables!$A$34:$A$37</c:f>
              <c:strCache>
                <c:ptCount val="3"/>
                <c:pt idx="0">
                  <c:v>Group A</c:v>
                </c:pt>
                <c:pt idx="1">
                  <c:v>Group B</c:v>
                </c:pt>
                <c:pt idx="2">
                  <c:v>Group C</c:v>
                </c:pt>
              </c:strCache>
            </c:strRef>
          </c:cat>
          <c:val>
            <c:numRef>
              <c:f>pivot_tables!$B$34:$B$37</c:f>
              <c:numCache>
                <c:formatCode>General</c:formatCode>
                <c:ptCount val="3"/>
                <c:pt idx="0">
                  <c:v>80.369878048780464</c:v>
                </c:pt>
                <c:pt idx="1">
                  <c:v>79.606046511627909</c:v>
                </c:pt>
                <c:pt idx="2">
                  <c:v>80.518292682926841</c:v>
                </c:pt>
              </c:numCache>
            </c:numRef>
          </c:val>
        </c:ser>
        <c:axId val="160448896"/>
        <c:axId val="160434816"/>
      </c:barChart>
      <c:valAx>
        <c:axId val="160434816"/>
        <c:scaling>
          <c:orientation val="minMax"/>
        </c:scaling>
        <c:axPos val="b"/>
        <c:majorGridlines/>
        <c:numFmt formatCode="General" sourceLinked="1"/>
        <c:tickLblPos val="nextTo"/>
        <c:crossAx val="160448896"/>
        <c:crosses val="autoZero"/>
        <c:crossBetween val="between"/>
      </c:valAx>
      <c:catAx>
        <c:axId val="160448896"/>
        <c:scaling>
          <c:orientation val="minMax"/>
        </c:scaling>
        <c:axPos val="l"/>
        <c:tickLblPos val="nextTo"/>
        <c:crossAx val="160434816"/>
        <c:crosses val="autoZero"/>
        <c:auto val="1"/>
        <c:lblAlgn val="ctr"/>
        <c:lblOffset val="100"/>
      </c:cat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(Repaired).xlsm]pivot_tables!PivotTable11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Attendance</a:t>
            </a:r>
            <a:r>
              <a:rPr lang="en-US" baseline="0"/>
              <a:t> % by Extracurricuar</a:t>
            </a:r>
            <a:endParaRPr lang="en-US"/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</c:pivotFmt>
    </c:pivotFmts>
    <c:plotArea>
      <c:layout/>
      <c:radarChart>
        <c:radarStyle val="marker"/>
        <c:ser>
          <c:idx val="0"/>
          <c:order val="0"/>
          <c:tx>
            <c:strRef>
              <c:f>pivot_tables!$B$39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pivot_tables!$A$40:$A$44</c:f>
              <c:strCache>
                <c:ptCount val="4"/>
                <c:pt idx="0">
                  <c:v>Art</c:v>
                </c:pt>
                <c:pt idx="1">
                  <c:v>Music</c:v>
                </c:pt>
                <c:pt idx="2">
                  <c:v>None</c:v>
                </c:pt>
                <c:pt idx="3">
                  <c:v>Sports</c:v>
                </c:pt>
              </c:strCache>
            </c:strRef>
          </c:cat>
          <c:val>
            <c:numRef>
              <c:f>pivot_tables!$B$40:$B$44</c:f>
              <c:numCache>
                <c:formatCode>General</c:formatCode>
                <c:ptCount val="4"/>
                <c:pt idx="0">
                  <c:v>80.953943661971806</c:v>
                </c:pt>
                <c:pt idx="1">
                  <c:v>80.468135593220339</c:v>
                </c:pt>
                <c:pt idx="2">
                  <c:v>78.496296296296322</c:v>
                </c:pt>
                <c:pt idx="3">
                  <c:v>80.375757575757589</c:v>
                </c:pt>
              </c:numCache>
            </c:numRef>
          </c:val>
        </c:ser>
        <c:axId val="160452992"/>
        <c:axId val="160474624"/>
      </c:radarChart>
      <c:catAx>
        <c:axId val="160452992"/>
        <c:scaling>
          <c:orientation val="minMax"/>
        </c:scaling>
        <c:axPos val="b"/>
        <c:majorGridlines/>
        <c:tickLblPos val="nextTo"/>
        <c:crossAx val="160474624"/>
        <c:crosses val="autoZero"/>
        <c:auto val="1"/>
        <c:lblAlgn val="ctr"/>
        <c:lblOffset val="100"/>
      </c:catAx>
      <c:valAx>
        <c:axId val="160474624"/>
        <c:scaling>
          <c:orientation val="minMax"/>
        </c:scaling>
        <c:axPos val="l"/>
        <c:majorGridlines/>
        <c:numFmt formatCode="General" sourceLinked="1"/>
        <c:tickLblPos val="nextTo"/>
        <c:crossAx val="160452992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[Student_performance_analysis (Repaired).xlsm]pivot_tables!PivotTable5</c:name>
    <c:fmtId val="5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pivot_tables!$B$47:$B$48</c:f>
              <c:strCache>
                <c:ptCount val="1"/>
                <c:pt idx="0">
                  <c:v>Average of math_score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pivot_tables!$B$49:$B$53</c:f>
              <c:numCache>
                <c:formatCode>General</c:formatCode>
                <c:ptCount val="4"/>
                <c:pt idx="0">
                  <c:v>68.447761194029852</c:v>
                </c:pt>
                <c:pt idx="1">
                  <c:v>68.761904761904759</c:v>
                </c:pt>
                <c:pt idx="2">
                  <c:v>76.793103448275858</c:v>
                </c:pt>
                <c:pt idx="3">
                  <c:v>66.225806451612897</c:v>
                </c:pt>
              </c:numCache>
            </c:numRef>
          </c:val>
        </c:ser>
        <c:ser>
          <c:idx val="1"/>
          <c:order val="1"/>
          <c:tx>
            <c:strRef>
              <c:f>pivot_tables!$C$47:$C$48</c:f>
              <c:strCache>
                <c:ptCount val="1"/>
                <c:pt idx="0">
                  <c:v>Average of english_score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pivot_tables!$C$49:$C$53</c:f>
              <c:numCache>
                <c:formatCode>General</c:formatCode>
                <c:ptCount val="4"/>
                <c:pt idx="0">
                  <c:v>69.462686567164184</c:v>
                </c:pt>
                <c:pt idx="1">
                  <c:v>70.587301587301582</c:v>
                </c:pt>
                <c:pt idx="2">
                  <c:v>72.758620689655174</c:v>
                </c:pt>
                <c:pt idx="3">
                  <c:v>66.677419354838705</c:v>
                </c:pt>
              </c:numCache>
            </c:numRef>
          </c:val>
        </c:ser>
        <c:ser>
          <c:idx val="2"/>
          <c:order val="2"/>
          <c:tx>
            <c:strRef>
              <c:f>pivot_tables!$D$47:$D$48</c:f>
              <c:strCache>
                <c:ptCount val="1"/>
                <c:pt idx="0">
                  <c:v>Average of science_score</c:v>
                </c:pt>
              </c:strCache>
            </c:strRef>
          </c:tx>
          <c:cat>
            <c:strRef>
              <c:f>pivot_tables!$A$49:$A$53</c:f>
              <c:strCache>
                <c:ptCount val="4"/>
                <c:pt idx="0">
                  <c:v>Grade 10</c:v>
                </c:pt>
                <c:pt idx="1">
                  <c:v>Grade 11</c:v>
                </c:pt>
                <c:pt idx="2">
                  <c:v>Grade 12</c:v>
                </c:pt>
                <c:pt idx="3">
                  <c:v>Grade 9</c:v>
                </c:pt>
              </c:strCache>
            </c:strRef>
          </c:cat>
          <c:val>
            <c:numRef>
              <c:f>pivot_tables!$D$49:$D$53</c:f>
              <c:numCache>
                <c:formatCode>General</c:formatCode>
                <c:ptCount val="4"/>
                <c:pt idx="0">
                  <c:v>68.492537313432834</c:v>
                </c:pt>
                <c:pt idx="1">
                  <c:v>69.650793650793645</c:v>
                </c:pt>
                <c:pt idx="2">
                  <c:v>70.58620689655173</c:v>
                </c:pt>
                <c:pt idx="3">
                  <c:v>70.758064516129039</c:v>
                </c:pt>
              </c:numCache>
            </c:numRef>
          </c:val>
        </c:ser>
        <c:axId val="160258688"/>
        <c:axId val="160264576"/>
      </c:barChart>
      <c:catAx>
        <c:axId val="160258688"/>
        <c:scaling>
          <c:orientation val="minMax"/>
        </c:scaling>
        <c:axPos val="b"/>
        <c:tickLblPos val="nextTo"/>
        <c:crossAx val="160264576"/>
        <c:crosses val="autoZero"/>
        <c:auto val="1"/>
        <c:lblAlgn val="ctr"/>
        <c:lblOffset val="100"/>
      </c:catAx>
      <c:valAx>
        <c:axId val="160264576"/>
        <c:scaling>
          <c:orientation val="minMax"/>
        </c:scaling>
        <c:axPos val="l"/>
        <c:majorGridlines/>
        <c:numFmt formatCode="General" sourceLinked="1"/>
        <c:tickLblPos val="nextTo"/>
        <c:crossAx val="160258688"/>
        <c:crosses val="autoZero"/>
        <c:crossBetween val="between"/>
      </c:valAx>
    </c:plotArea>
    <c:legend>
      <c:legendPos val="r"/>
      <c:layout/>
    </c:legend>
    <c:plotVisOnly val="1"/>
  </c:chart>
  <c:spPr>
    <a:solidFill>
      <a:srgbClr val="00B0F0"/>
    </a:solidFill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1695451</xdr:colOff>
      <xdr:row>0</xdr:row>
      <xdr:rowOff>180976</xdr:rowOff>
    </xdr:from>
    <xdr:to>
      <xdr:col>6</xdr:col>
      <xdr:colOff>552451</xdr:colOff>
      <xdr:row>8</xdr:row>
      <xdr:rowOff>85726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1704975</xdr:colOff>
      <xdr:row>9</xdr:row>
      <xdr:rowOff>0</xdr:rowOff>
    </xdr:from>
    <xdr:to>
      <xdr:col>6</xdr:col>
      <xdr:colOff>581025</xdr:colOff>
      <xdr:row>17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1704974</xdr:colOff>
      <xdr:row>18</xdr:row>
      <xdr:rowOff>28575</xdr:rowOff>
    </xdr:from>
    <xdr:to>
      <xdr:col>6</xdr:col>
      <xdr:colOff>590549</xdr:colOff>
      <xdr:row>24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1676400</xdr:colOff>
      <xdr:row>25</xdr:row>
      <xdr:rowOff>66675</xdr:rowOff>
    </xdr:from>
    <xdr:to>
      <xdr:col>7</xdr:col>
      <xdr:colOff>28575</xdr:colOff>
      <xdr:row>33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5</xdr:row>
      <xdr:rowOff>0</xdr:rowOff>
    </xdr:from>
    <xdr:to>
      <xdr:col>11</xdr:col>
      <xdr:colOff>381000</xdr:colOff>
      <xdr:row>15</xdr:row>
      <xdr:rowOff>66675</xdr:rowOff>
    </xdr:to>
    <xdr:sp macro="" textlink="">
      <xdr:nvSpPr>
        <xdr:cNvPr id="7" name="Rectangle 6"/>
        <xdr:cNvSpPr/>
      </xdr:nvSpPr>
      <xdr:spPr>
        <a:xfrm>
          <a:off x="8248650" y="952500"/>
          <a:ext cx="2209800" cy="20097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Extra_curricular</a:t>
          </a:r>
        </a:p>
      </xdr:txBody>
    </xdr:sp>
    <xdr:clientData/>
  </xdr:twoCellAnchor>
  <xdr:twoCellAnchor>
    <xdr:from>
      <xdr:col>8</xdr:col>
      <xdr:colOff>171449</xdr:colOff>
      <xdr:row>6</xdr:row>
      <xdr:rowOff>114301</xdr:rowOff>
    </xdr:from>
    <xdr:to>
      <xdr:col>11</xdr:col>
      <xdr:colOff>190499</xdr:colOff>
      <xdr:row>8</xdr:row>
      <xdr:rowOff>66676</xdr:rowOff>
    </xdr:to>
    <xdr:sp macro="[0]!Art" textlink="">
      <xdr:nvSpPr>
        <xdr:cNvPr id="8" name="Rounded Rectangle 7"/>
        <xdr:cNvSpPr/>
      </xdr:nvSpPr>
      <xdr:spPr>
        <a:xfrm>
          <a:off x="8420099" y="1257301"/>
          <a:ext cx="18478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Art</a:t>
          </a:r>
        </a:p>
      </xdr:txBody>
    </xdr:sp>
    <xdr:clientData/>
  </xdr:twoCellAnchor>
  <xdr:twoCellAnchor>
    <xdr:from>
      <xdr:col>8</xdr:col>
      <xdr:colOff>171450</xdr:colOff>
      <xdr:row>8</xdr:row>
      <xdr:rowOff>142875</xdr:rowOff>
    </xdr:from>
    <xdr:to>
      <xdr:col>11</xdr:col>
      <xdr:colOff>190500</xdr:colOff>
      <xdr:row>10</xdr:row>
      <xdr:rowOff>85725</xdr:rowOff>
    </xdr:to>
    <xdr:sp macro="[0]!Music" textlink="">
      <xdr:nvSpPr>
        <xdr:cNvPr id="9" name="Rounded Rectangle 8"/>
        <xdr:cNvSpPr/>
      </xdr:nvSpPr>
      <xdr:spPr>
        <a:xfrm>
          <a:off x="8420100" y="1666875"/>
          <a:ext cx="18478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Music</a:t>
          </a:r>
        </a:p>
      </xdr:txBody>
    </xdr:sp>
    <xdr:clientData/>
  </xdr:twoCellAnchor>
  <xdr:twoCellAnchor>
    <xdr:from>
      <xdr:col>8</xdr:col>
      <xdr:colOff>171450</xdr:colOff>
      <xdr:row>10</xdr:row>
      <xdr:rowOff>152400</xdr:rowOff>
    </xdr:from>
    <xdr:to>
      <xdr:col>11</xdr:col>
      <xdr:colOff>190500</xdr:colOff>
      <xdr:row>12</xdr:row>
      <xdr:rowOff>85725</xdr:rowOff>
    </xdr:to>
    <xdr:sp macro="[0]!None" textlink="">
      <xdr:nvSpPr>
        <xdr:cNvPr id="10" name="Rounded Rectangle 9"/>
        <xdr:cNvSpPr/>
      </xdr:nvSpPr>
      <xdr:spPr>
        <a:xfrm>
          <a:off x="8420100" y="2066925"/>
          <a:ext cx="18478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None</a:t>
          </a:r>
        </a:p>
      </xdr:txBody>
    </xdr:sp>
    <xdr:clientData/>
  </xdr:twoCellAnchor>
  <xdr:twoCellAnchor>
    <xdr:from>
      <xdr:col>8</xdr:col>
      <xdr:colOff>171450</xdr:colOff>
      <xdr:row>12</xdr:row>
      <xdr:rowOff>171450</xdr:rowOff>
    </xdr:from>
    <xdr:to>
      <xdr:col>11</xdr:col>
      <xdr:colOff>190500</xdr:colOff>
      <xdr:row>14</xdr:row>
      <xdr:rowOff>114300</xdr:rowOff>
    </xdr:to>
    <xdr:sp macro="[0]!Sports" textlink="">
      <xdr:nvSpPr>
        <xdr:cNvPr id="11" name="Rounded Rectangle 10"/>
        <xdr:cNvSpPr/>
      </xdr:nvSpPr>
      <xdr:spPr>
        <a:xfrm>
          <a:off x="8420100" y="2486025"/>
          <a:ext cx="18478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Sports</a:t>
          </a:r>
        </a:p>
      </xdr:txBody>
    </xdr:sp>
    <xdr:clientData/>
  </xdr:twoCellAnchor>
  <xdr:twoCellAnchor>
    <xdr:from>
      <xdr:col>3</xdr:col>
      <xdr:colOff>9525</xdr:colOff>
      <xdr:row>33</xdr:row>
      <xdr:rowOff>114300</xdr:rowOff>
    </xdr:from>
    <xdr:to>
      <xdr:col>7</xdr:col>
      <xdr:colOff>57150</xdr:colOff>
      <xdr:row>41</xdr:row>
      <xdr:rowOff>76200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1</xdr:row>
      <xdr:rowOff>142875</xdr:rowOff>
    </xdr:from>
    <xdr:to>
      <xdr:col>19</xdr:col>
      <xdr:colOff>104777</xdr:colOff>
      <xdr:row>6</xdr:row>
      <xdr:rowOff>47625</xdr:rowOff>
    </xdr:to>
    <xdr:sp macro="" textlink="">
      <xdr:nvSpPr>
        <xdr:cNvPr id="4" name="Rounded Rectangle 3"/>
        <xdr:cNvSpPr/>
      </xdr:nvSpPr>
      <xdr:spPr>
        <a:xfrm>
          <a:off x="381001" y="333375"/>
          <a:ext cx="11306176" cy="8572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3200"/>
            <a:t>Student Performance - Exploratory Data Analysis Dashboard</a:t>
          </a:r>
        </a:p>
      </xdr:txBody>
    </xdr:sp>
    <xdr:clientData/>
  </xdr:twoCellAnchor>
  <xdr:twoCellAnchor>
    <xdr:from>
      <xdr:col>0</xdr:col>
      <xdr:colOff>409576</xdr:colOff>
      <xdr:row>7</xdr:row>
      <xdr:rowOff>123826</xdr:rowOff>
    </xdr:from>
    <xdr:to>
      <xdr:col>3</xdr:col>
      <xdr:colOff>276226</xdr:colOff>
      <xdr:row>11</xdr:row>
      <xdr:rowOff>28576</xdr:rowOff>
    </xdr:to>
    <xdr:sp macro="" textlink="">
      <xdr:nvSpPr>
        <xdr:cNvPr id="6" name="Rounded Rectangle 5"/>
        <xdr:cNvSpPr/>
      </xdr:nvSpPr>
      <xdr:spPr>
        <a:xfrm>
          <a:off x="409576" y="1457326"/>
          <a:ext cx="1695450" cy="6667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400"/>
            <a:t>Student Count</a:t>
          </a:r>
        </a:p>
      </xdr:txBody>
    </xdr:sp>
    <xdr:clientData/>
  </xdr:twoCellAnchor>
  <xdr:twoCellAnchor>
    <xdr:from>
      <xdr:col>1</xdr:col>
      <xdr:colOff>304800</xdr:colOff>
      <xdr:row>9</xdr:row>
      <xdr:rowOff>57150</xdr:rowOff>
    </xdr:from>
    <xdr:to>
      <xdr:col>2</xdr:col>
      <xdr:colOff>400050</xdr:colOff>
      <xdr:row>10</xdr:row>
      <xdr:rowOff>142875</xdr:rowOff>
    </xdr:to>
    <xdr:sp macro="" textlink="pivot_tables!A4">
      <xdr:nvSpPr>
        <xdr:cNvPr id="7" name="TextBox 6"/>
        <xdr:cNvSpPr txBox="1"/>
      </xdr:nvSpPr>
      <xdr:spPr>
        <a:xfrm>
          <a:off x="914400" y="1771650"/>
          <a:ext cx="704850" cy="2762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fld id="{873505F1-759C-47AA-92E1-953749060DF6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250</a:t>
          </a:fld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361950</xdr:colOff>
      <xdr:row>7</xdr:row>
      <xdr:rowOff>133350</xdr:rowOff>
    </xdr:from>
    <xdr:to>
      <xdr:col>7</xdr:col>
      <xdr:colOff>180975</xdr:colOff>
      <xdr:row>11</xdr:row>
      <xdr:rowOff>28575</xdr:rowOff>
    </xdr:to>
    <xdr:sp macro="" textlink="">
      <xdr:nvSpPr>
        <xdr:cNvPr id="8" name="Rounded Rectangle 7"/>
        <xdr:cNvSpPr/>
      </xdr:nvSpPr>
      <xdr:spPr>
        <a:xfrm>
          <a:off x="2800350" y="1466850"/>
          <a:ext cx="1647825" cy="6572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400"/>
            <a:t>Avg.  Science Score</a:t>
          </a:r>
          <a:r>
            <a:rPr lang="en-US" sz="1400" baseline="0"/>
            <a:t> </a:t>
          </a:r>
          <a:endParaRPr lang="en-US" sz="1400"/>
        </a:p>
      </xdr:txBody>
    </xdr:sp>
    <xdr:clientData/>
  </xdr:twoCellAnchor>
  <xdr:twoCellAnchor>
    <xdr:from>
      <xdr:col>8</xdr:col>
      <xdr:colOff>295275</xdr:colOff>
      <xdr:row>7</xdr:row>
      <xdr:rowOff>133350</xdr:rowOff>
    </xdr:from>
    <xdr:to>
      <xdr:col>11</xdr:col>
      <xdr:colOff>114300</xdr:colOff>
      <xdr:row>11</xdr:row>
      <xdr:rowOff>28575</xdr:rowOff>
    </xdr:to>
    <xdr:sp macro="" textlink="">
      <xdr:nvSpPr>
        <xdr:cNvPr id="9" name="Rounded Rectangle 8"/>
        <xdr:cNvSpPr/>
      </xdr:nvSpPr>
      <xdr:spPr>
        <a:xfrm>
          <a:off x="5172075" y="1466850"/>
          <a:ext cx="1647825" cy="6572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400"/>
            <a:t>Avg.</a:t>
          </a:r>
          <a:r>
            <a:rPr lang="en-US" sz="1400" baseline="0"/>
            <a:t> Math Score</a:t>
          </a:r>
          <a:endParaRPr lang="en-US" sz="1400"/>
        </a:p>
      </xdr:txBody>
    </xdr:sp>
    <xdr:clientData/>
  </xdr:twoCellAnchor>
  <xdr:twoCellAnchor>
    <xdr:from>
      <xdr:col>12</xdr:col>
      <xdr:colOff>276225</xdr:colOff>
      <xdr:row>7</xdr:row>
      <xdr:rowOff>123825</xdr:rowOff>
    </xdr:from>
    <xdr:to>
      <xdr:col>15</xdr:col>
      <xdr:colOff>95250</xdr:colOff>
      <xdr:row>11</xdr:row>
      <xdr:rowOff>19050</xdr:rowOff>
    </xdr:to>
    <xdr:sp macro="" textlink="">
      <xdr:nvSpPr>
        <xdr:cNvPr id="10" name="Rounded Rectangle 9"/>
        <xdr:cNvSpPr/>
      </xdr:nvSpPr>
      <xdr:spPr>
        <a:xfrm>
          <a:off x="7591425" y="1457325"/>
          <a:ext cx="1647825" cy="6572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400"/>
            <a:t>Avg.</a:t>
          </a:r>
          <a:r>
            <a:rPr lang="en-US" sz="1400" baseline="0"/>
            <a:t> English Score</a:t>
          </a:r>
          <a:endParaRPr lang="en-US" sz="1400"/>
        </a:p>
      </xdr:txBody>
    </xdr:sp>
    <xdr:clientData/>
  </xdr:twoCellAnchor>
  <xdr:twoCellAnchor>
    <xdr:from>
      <xdr:col>16</xdr:col>
      <xdr:colOff>247650</xdr:colOff>
      <xdr:row>7</xdr:row>
      <xdr:rowOff>114300</xdr:rowOff>
    </xdr:from>
    <xdr:to>
      <xdr:col>19</xdr:col>
      <xdr:colOff>66675</xdr:colOff>
      <xdr:row>11</xdr:row>
      <xdr:rowOff>9525</xdr:rowOff>
    </xdr:to>
    <xdr:sp macro="" textlink="">
      <xdr:nvSpPr>
        <xdr:cNvPr id="11" name="Rounded Rectangle 10"/>
        <xdr:cNvSpPr/>
      </xdr:nvSpPr>
      <xdr:spPr>
        <a:xfrm>
          <a:off x="10001250" y="1447800"/>
          <a:ext cx="1647825" cy="6572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400"/>
            <a:t>Avg. Attendance %</a:t>
          </a:r>
        </a:p>
      </xdr:txBody>
    </xdr:sp>
    <xdr:clientData/>
  </xdr:twoCellAnchor>
  <xdr:twoCellAnchor>
    <xdr:from>
      <xdr:col>5</xdr:col>
      <xdr:colOff>200025</xdr:colOff>
      <xdr:row>9</xdr:row>
      <xdr:rowOff>57150</xdr:rowOff>
    </xdr:from>
    <xdr:to>
      <xdr:col>6</xdr:col>
      <xdr:colOff>295275</xdr:colOff>
      <xdr:row>10</xdr:row>
      <xdr:rowOff>142875</xdr:rowOff>
    </xdr:to>
    <xdr:sp macro="" textlink="pivot_tables!A7">
      <xdr:nvSpPr>
        <xdr:cNvPr id="12" name="TextBox 11"/>
        <xdr:cNvSpPr txBox="1"/>
      </xdr:nvSpPr>
      <xdr:spPr>
        <a:xfrm>
          <a:off x="3248025" y="1771650"/>
          <a:ext cx="704850" cy="2762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fld id="{84821116-27A1-498A-8CFC-34D359807224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69.832</a:t>
          </a:fld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161925</xdr:colOff>
      <xdr:row>9</xdr:row>
      <xdr:rowOff>38100</xdr:rowOff>
    </xdr:from>
    <xdr:to>
      <xdr:col>10</xdr:col>
      <xdr:colOff>257175</xdr:colOff>
      <xdr:row>10</xdr:row>
      <xdr:rowOff>123825</xdr:rowOff>
    </xdr:to>
    <xdr:sp macro="" textlink="pivot_tables!A10">
      <xdr:nvSpPr>
        <xdr:cNvPr id="13" name="TextBox 12"/>
        <xdr:cNvSpPr txBox="1"/>
      </xdr:nvSpPr>
      <xdr:spPr>
        <a:xfrm>
          <a:off x="5648325" y="1752600"/>
          <a:ext cx="704850" cy="2762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fld id="{39AD276F-9623-4D61-8F81-4E80C4E06B9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69.912</a:t>
          </a:fld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142875</xdr:colOff>
      <xdr:row>9</xdr:row>
      <xdr:rowOff>28575</xdr:rowOff>
    </xdr:from>
    <xdr:to>
      <xdr:col>14</xdr:col>
      <xdr:colOff>238125</xdr:colOff>
      <xdr:row>10</xdr:row>
      <xdr:rowOff>114300</xdr:rowOff>
    </xdr:to>
    <xdr:sp macro="" textlink="pivot_tables!A13">
      <xdr:nvSpPr>
        <xdr:cNvPr id="14" name="TextBox 13"/>
        <xdr:cNvSpPr txBox="1"/>
      </xdr:nvSpPr>
      <xdr:spPr>
        <a:xfrm>
          <a:off x="8067675" y="1743075"/>
          <a:ext cx="704850" cy="2762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fld id="{C6E328F3-B4BD-4583-A48D-25AFD2CAE94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69.82</a:t>
          </a:fld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161925</xdr:colOff>
      <xdr:row>9</xdr:row>
      <xdr:rowOff>9525</xdr:rowOff>
    </xdr:from>
    <xdr:to>
      <xdr:col>18</xdr:col>
      <xdr:colOff>257175</xdr:colOff>
      <xdr:row>10</xdr:row>
      <xdr:rowOff>95250</xdr:rowOff>
    </xdr:to>
    <xdr:sp macro="" textlink="pivot_tables!A16">
      <xdr:nvSpPr>
        <xdr:cNvPr id="15" name="TextBox 14"/>
        <xdr:cNvSpPr txBox="1"/>
      </xdr:nvSpPr>
      <xdr:spPr>
        <a:xfrm>
          <a:off x="10525125" y="1724025"/>
          <a:ext cx="704850" cy="2762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fld id="{ABA1A07A-A52B-4411-8F93-932F379399D9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80.1558</a:t>
          </a:fld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390523</xdr:colOff>
      <xdr:row>12</xdr:row>
      <xdr:rowOff>95250</xdr:rowOff>
    </xdr:from>
    <xdr:to>
      <xdr:col>6</xdr:col>
      <xdr:colOff>409574</xdr:colOff>
      <xdr:row>25</xdr:row>
      <xdr:rowOff>9525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542925</xdr:colOff>
      <xdr:row>12</xdr:row>
      <xdr:rowOff>123825</xdr:rowOff>
    </xdr:from>
    <xdr:to>
      <xdr:col>13</xdr:col>
      <xdr:colOff>123825</xdr:colOff>
      <xdr:row>25</xdr:row>
      <xdr:rowOff>9525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400050</xdr:colOff>
      <xdr:row>12</xdr:row>
      <xdr:rowOff>114300</xdr:rowOff>
    </xdr:from>
    <xdr:to>
      <xdr:col>19</xdr:col>
      <xdr:colOff>114300</xdr:colOff>
      <xdr:row>24</xdr:row>
      <xdr:rowOff>180975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361949</xdr:colOff>
      <xdr:row>26</xdr:row>
      <xdr:rowOff>66675</xdr:rowOff>
    </xdr:from>
    <xdr:to>
      <xdr:col>8</xdr:col>
      <xdr:colOff>504824</xdr:colOff>
      <xdr:row>40</xdr:row>
      <xdr:rowOff>142875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85725</xdr:colOff>
      <xdr:row>26</xdr:row>
      <xdr:rowOff>66676</xdr:rowOff>
    </xdr:from>
    <xdr:to>
      <xdr:col>19</xdr:col>
      <xdr:colOff>104775</xdr:colOff>
      <xdr:row>40</xdr:row>
      <xdr:rowOff>180976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j%20computers/AppData/Roaming/Microsoft/Excel/Student_performance_analysis%20(version%201).xlsb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j computers" refreshedDate="46110.924022916668" createdVersion="3" refreshedVersion="3" minRefreshableVersion="3" recordCount="250">
  <cacheSource type="worksheet">
    <worksheetSource name="student_records"/>
  </cacheSource>
  <cacheFields count="9">
    <cacheField name="student_id" numFmtId="0">
      <sharedItems count="250">
        <s v="S2000"/>
        <s v="S2001"/>
        <s v="S2002"/>
        <s v="S2003"/>
        <s v="S2004"/>
        <s v="S2005"/>
        <s v="S2006"/>
        <s v="S2007"/>
        <s v="S2008"/>
        <s v="S2009"/>
        <s v="S2010"/>
        <s v="S2011"/>
        <s v="S2012"/>
        <s v="S2013"/>
        <s v="S2014"/>
        <s v="S2015"/>
        <s v="S2016"/>
        <s v="S2017"/>
        <s v="S2018"/>
        <s v="S2019"/>
        <s v="S2020"/>
        <s v="S2021"/>
        <s v="S2022"/>
        <s v="S2023"/>
        <s v="S2024"/>
        <s v="S2025"/>
        <s v="S2026"/>
        <s v="S2027"/>
        <s v="S2028"/>
        <s v="S2029"/>
        <s v="S2030"/>
        <s v="S2031"/>
        <s v="S2032"/>
        <s v="S2033"/>
        <s v="S2034"/>
        <s v="S2035"/>
        <s v="S2036"/>
        <s v="S2037"/>
        <s v="S2038"/>
        <s v="S2039"/>
        <s v="S2040"/>
        <s v="S2041"/>
        <s v="S2042"/>
        <s v="S2043"/>
        <s v="S2044"/>
        <s v="S2045"/>
        <s v="S2046"/>
        <s v="S2047"/>
        <s v="S2048"/>
        <s v="S2049"/>
        <s v="S2050"/>
        <s v="S2051"/>
        <s v="S2052"/>
        <s v="S2053"/>
        <s v="S2054"/>
        <s v="S2055"/>
        <s v="S2056"/>
        <s v="S2057"/>
        <s v="S2058"/>
        <s v="S2059"/>
        <s v="S2060"/>
        <s v="S2061"/>
        <s v="S2062"/>
        <s v="S2063"/>
        <s v="S2064"/>
        <s v="S2065"/>
        <s v="S2066"/>
        <s v="S2067"/>
        <s v="S2068"/>
        <s v="S2069"/>
        <s v="S2070"/>
        <s v="S2071"/>
        <s v="S2072"/>
        <s v="S2073"/>
        <s v="S2074"/>
        <s v="S2075"/>
        <s v="S2076"/>
        <s v="S2077"/>
        <s v="S2078"/>
        <s v="S2079"/>
        <s v="S2080"/>
        <s v="S2081"/>
        <s v="S2082"/>
        <s v="S2083"/>
        <s v="S2084"/>
        <s v="S2085"/>
        <s v="S2086"/>
        <s v="S2087"/>
        <s v="S2088"/>
        <s v="S2089"/>
        <s v="S2090"/>
        <s v="S2091"/>
        <s v="S2092"/>
        <s v="S2093"/>
        <s v="S2094"/>
        <s v="S2095"/>
        <s v="S2096"/>
        <s v="S2097"/>
        <s v="S2098"/>
        <s v="S2099"/>
        <s v="S2100"/>
        <s v="S2101"/>
        <s v="S2102"/>
        <s v="S2103"/>
        <s v="S2104"/>
        <s v="S2105"/>
        <s v="S2106"/>
        <s v="S2107"/>
        <s v="S2108"/>
        <s v="S2109"/>
        <s v="S2110"/>
        <s v="S2111"/>
        <s v="S2112"/>
        <s v="S2113"/>
        <s v="S2114"/>
        <s v="S2115"/>
        <s v="S2116"/>
        <s v="S2117"/>
        <s v="S2118"/>
        <s v="S2119"/>
        <s v="S2120"/>
        <s v="S2121"/>
        <s v="S2122"/>
        <s v="S2123"/>
        <s v="S2124"/>
        <s v="S2125"/>
        <s v="S2126"/>
        <s v="S2127"/>
        <s v="S2128"/>
        <s v="S2129"/>
        <s v="S2130"/>
        <s v="S2131"/>
        <s v="S2132"/>
        <s v="S2133"/>
        <s v="S2134"/>
        <s v="S2135"/>
        <s v="S2136"/>
        <s v="S2137"/>
        <s v="S2138"/>
        <s v="S2139"/>
        <s v="S2140"/>
        <s v="S2141"/>
        <s v="S2142"/>
        <s v="S2143"/>
        <s v="S2144"/>
        <s v="S2145"/>
        <s v="S2146"/>
        <s v="S2147"/>
        <s v="S2148"/>
        <s v="S2149"/>
        <s v="S2150"/>
        <s v="S2151"/>
        <s v="S2152"/>
        <s v="S2153"/>
        <s v="S2154"/>
        <s v="S2155"/>
        <s v="S2156"/>
        <s v="S2157"/>
        <s v="S2158"/>
        <s v="S2159"/>
        <s v="S2160"/>
        <s v="S2161"/>
        <s v="S2162"/>
        <s v="S2163"/>
        <s v="S2164"/>
        <s v="S2165"/>
        <s v="S2166"/>
        <s v="S2167"/>
        <s v="S2168"/>
        <s v="S2169"/>
        <s v="S2170"/>
        <s v="S2171"/>
        <s v="S2172"/>
        <s v="S2173"/>
        <s v="S2174"/>
        <s v="S2175"/>
        <s v="S2176"/>
        <s v="S2177"/>
        <s v="S2178"/>
        <s v="S2179"/>
        <s v="S2180"/>
        <s v="S2181"/>
        <s v="S2182"/>
        <s v="S2183"/>
        <s v="S2184"/>
        <s v="S2185"/>
        <s v="S2186"/>
        <s v="S2187"/>
        <s v="S2188"/>
        <s v="S2189"/>
        <s v="S2190"/>
        <s v="S2191"/>
        <s v="S2192"/>
        <s v="S2193"/>
        <s v="S2194"/>
        <s v="S2195"/>
        <s v="S2196"/>
        <s v="S2197"/>
        <s v="S2198"/>
        <s v="S2199"/>
        <s v="S2200"/>
        <s v="S2201"/>
        <s v="S2202"/>
        <s v="S2203"/>
        <s v="S2204"/>
        <s v="S2205"/>
        <s v="S2206"/>
        <s v="S2207"/>
        <s v="S2208"/>
        <s v="S2209"/>
        <s v="S2210"/>
        <s v="S2211"/>
        <s v="S2212"/>
        <s v="S2213"/>
        <s v="S2214"/>
        <s v="S2215"/>
        <s v="S2216"/>
        <s v="S2217"/>
        <s v="S2218"/>
        <s v="S2219"/>
        <s v="S2220"/>
        <s v="S2221"/>
        <s v="S2222"/>
        <s v="S2223"/>
        <s v="S2224"/>
        <s v="S2225"/>
        <s v="S2226"/>
        <s v="S2227"/>
        <s v="S2228"/>
        <s v="S2229"/>
        <s v="S2230"/>
        <s v="S2231"/>
        <s v="S2232"/>
        <s v="S2233"/>
        <s v="S2234"/>
        <s v="S2235"/>
        <s v="S2236"/>
        <s v="S2237"/>
        <s v="S2238"/>
        <s v="S2239"/>
        <s v="S2240"/>
        <s v="S2241"/>
        <s v="S2242"/>
        <s v="S2243"/>
        <s v="S2244"/>
        <s v="S2245"/>
        <s v="S2246"/>
        <s v="S2247"/>
        <s v="S2248"/>
        <s v="S2249"/>
      </sharedItems>
    </cacheField>
    <cacheField name="math_score" numFmtId="0">
      <sharedItems containsSemiMixedTypes="0" containsString="0" containsNumber="1" containsInteger="1" minValue="40" maxValue="100"/>
    </cacheField>
    <cacheField name="science_score" numFmtId="0">
      <sharedItems containsSemiMixedTypes="0" containsString="0" containsNumber="1" containsInteger="1" minValue="40" maxValue="100"/>
    </cacheField>
    <cacheField name="english_score" numFmtId="0">
      <sharedItems containsSemiMixedTypes="0" containsString="0" containsNumber="1" containsInteger="1" minValue="40" maxValue="100"/>
    </cacheField>
    <cacheField name="attendance_percent" numFmtId="0">
      <sharedItems containsSemiMixedTypes="0" containsString="0" containsNumber="1" minValue="60" maxValue="99.96"/>
    </cacheField>
    <cacheField name="gender" numFmtId="0">
      <sharedItems count="2">
        <s v="Male"/>
        <s v="Female"/>
      </sharedItems>
    </cacheField>
    <cacheField name="grade_level" numFmtId="0">
      <sharedItems count="4">
        <s v="Grade 10"/>
        <s v="Grade 11"/>
        <s v="Grade 9"/>
        <s v="Grade 12"/>
      </sharedItems>
    </cacheField>
    <cacheField name="study_group" numFmtId="0">
      <sharedItems count="3">
        <s v="Group B"/>
        <s v="Group C"/>
        <s v="Group A"/>
      </sharedItems>
    </cacheField>
    <cacheField name="extra_curricular" numFmtId="0">
      <sharedItems count="4">
        <s v="Sports"/>
        <s v="Music"/>
        <s v="Art"/>
        <s v="None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j computers" refreshedDate="46110.924022916668" createdVersion="3" refreshedVersion="3" minRefreshableVersion="3" recordCount="250">
  <cacheSource type="worksheet">
    <worksheetSource name="student_records" r:id="rId2"/>
  </cacheSource>
  <cacheFields count="9">
    <cacheField name="student_id" numFmtId="0">
      <sharedItems count="250">
        <s v="S2000"/>
        <s v="S2001"/>
        <s v="S2002"/>
        <s v="S2003"/>
        <s v="S2004"/>
        <s v="S2005"/>
        <s v="S2006"/>
        <s v="S2007"/>
        <s v="S2008"/>
        <s v="S2009"/>
        <s v="S2010"/>
        <s v="S2011"/>
        <s v="S2012"/>
        <s v="S2013"/>
        <s v="S2014"/>
        <s v="S2015"/>
        <s v="S2016"/>
        <s v="S2017"/>
        <s v="S2018"/>
        <s v="S2019"/>
        <s v="S2020"/>
        <s v="S2021"/>
        <s v="S2022"/>
        <s v="S2023"/>
        <s v="S2024"/>
        <s v="S2025"/>
        <s v="S2026"/>
        <s v="S2027"/>
        <s v="S2028"/>
        <s v="S2029"/>
        <s v="S2030"/>
        <s v="S2031"/>
        <s v="S2032"/>
        <s v="S2033"/>
        <s v="S2034"/>
        <s v="S2035"/>
        <s v="S2036"/>
        <s v="S2037"/>
        <s v="S2038"/>
        <s v="S2039"/>
        <s v="S2040"/>
        <s v="S2041"/>
        <s v="S2042"/>
        <s v="S2043"/>
        <s v="S2044"/>
        <s v="S2045"/>
        <s v="S2046"/>
        <s v="S2047"/>
        <s v="S2048"/>
        <s v="S2049"/>
        <s v="S2050"/>
        <s v="S2051"/>
        <s v="S2052"/>
        <s v="S2053"/>
        <s v="S2054"/>
        <s v="S2055"/>
        <s v="S2056"/>
        <s v="S2057"/>
        <s v="S2058"/>
        <s v="S2059"/>
        <s v="S2060"/>
        <s v="S2061"/>
        <s v="S2062"/>
        <s v="S2063"/>
        <s v="S2064"/>
        <s v="S2065"/>
        <s v="S2066"/>
        <s v="S2067"/>
        <s v="S2068"/>
        <s v="S2069"/>
        <s v="S2070"/>
        <s v="S2071"/>
        <s v="S2072"/>
        <s v="S2073"/>
        <s v="S2074"/>
        <s v="S2075"/>
        <s v="S2076"/>
        <s v="S2077"/>
        <s v="S2078"/>
        <s v="S2079"/>
        <s v="S2080"/>
        <s v="S2081"/>
        <s v="S2082"/>
        <s v="S2083"/>
        <s v="S2084"/>
        <s v="S2085"/>
        <s v="S2086"/>
        <s v="S2087"/>
        <s v="S2088"/>
        <s v="S2089"/>
        <s v="S2090"/>
        <s v="S2091"/>
        <s v="S2092"/>
        <s v="S2093"/>
        <s v="S2094"/>
        <s v="S2095"/>
        <s v="S2096"/>
        <s v="S2097"/>
        <s v="S2098"/>
        <s v="S2099"/>
        <s v="S2100"/>
        <s v="S2101"/>
        <s v="S2102"/>
        <s v="S2103"/>
        <s v="S2104"/>
        <s v="S2105"/>
        <s v="S2106"/>
        <s v="S2107"/>
        <s v="S2108"/>
        <s v="S2109"/>
        <s v="S2110"/>
        <s v="S2111"/>
        <s v="S2112"/>
        <s v="S2113"/>
        <s v="S2114"/>
        <s v="S2115"/>
        <s v="S2116"/>
        <s v="S2117"/>
        <s v="S2118"/>
        <s v="S2119"/>
        <s v="S2120"/>
        <s v="S2121"/>
        <s v="S2122"/>
        <s v="S2123"/>
        <s v="S2124"/>
        <s v="S2125"/>
        <s v="S2126"/>
        <s v="S2127"/>
        <s v="S2128"/>
        <s v="S2129"/>
        <s v="S2130"/>
        <s v="S2131"/>
        <s v="S2132"/>
        <s v="S2133"/>
        <s v="S2134"/>
        <s v="S2135"/>
        <s v="S2136"/>
        <s v="S2137"/>
        <s v="S2138"/>
        <s v="S2139"/>
        <s v="S2140"/>
        <s v="S2141"/>
        <s v="S2142"/>
        <s v="S2143"/>
        <s v="S2144"/>
        <s v="S2145"/>
        <s v="S2146"/>
        <s v="S2147"/>
        <s v="S2148"/>
        <s v="S2149"/>
        <s v="S2150"/>
        <s v="S2151"/>
        <s v="S2152"/>
        <s v="S2153"/>
        <s v="S2154"/>
        <s v="S2155"/>
        <s v="S2156"/>
        <s v="S2157"/>
        <s v="S2158"/>
        <s v="S2159"/>
        <s v="S2160"/>
        <s v="S2161"/>
        <s v="S2162"/>
        <s v="S2163"/>
        <s v="S2164"/>
        <s v="S2165"/>
        <s v="S2166"/>
        <s v="S2167"/>
        <s v="S2168"/>
        <s v="S2169"/>
        <s v="S2170"/>
        <s v="S2171"/>
        <s v="S2172"/>
        <s v="S2173"/>
        <s v="S2174"/>
        <s v="S2175"/>
        <s v="S2176"/>
        <s v="S2177"/>
        <s v="S2178"/>
        <s v="S2179"/>
        <s v="S2180"/>
        <s v="S2181"/>
        <s v="S2182"/>
        <s v="S2183"/>
        <s v="S2184"/>
        <s v="S2185"/>
        <s v="S2186"/>
        <s v="S2187"/>
        <s v="S2188"/>
        <s v="S2189"/>
        <s v="S2190"/>
        <s v="S2191"/>
        <s v="S2192"/>
        <s v="S2193"/>
        <s v="S2194"/>
        <s v="S2195"/>
        <s v="S2196"/>
        <s v="S2197"/>
        <s v="S2198"/>
        <s v="S2199"/>
        <s v="S2200"/>
        <s v="S2201"/>
        <s v="S2202"/>
        <s v="S2203"/>
        <s v="S2204"/>
        <s v="S2205"/>
        <s v="S2206"/>
        <s v="S2207"/>
        <s v="S2208"/>
        <s v="S2209"/>
        <s v="S2210"/>
        <s v="S2211"/>
        <s v="S2212"/>
        <s v="S2213"/>
        <s v="S2214"/>
        <s v="S2215"/>
        <s v="S2216"/>
        <s v="S2217"/>
        <s v="S2218"/>
        <s v="S2219"/>
        <s v="S2220"/>
        <s v="S2221"/>
        <s v="S2222"/>
        <s v="S2223"/>
        <s v="S2224"/>
        <s v="S2225"/>
        <s v="S2226"/>
        <s v="S2227"/>
        <s v="S2228"/>
        <s v="S2229"/>
        <s v="S2230"/>
        <s v="S2231"/>
        <s v="S2232"/>
        <s v="S2233"/>
        <s v="S2234"/>
        <s v="S2235"/>
        <s v="S2236"/>
        <s v="S2237"/>
        <s v="S2238"/>
        <s v="S2239"/>
        <s v="S2240"/>
        <s v="S2241"/>
        <s v="S2242"/>
        <s v="S2243"/>
        <s v="S2244"/>
        <s v="S2245"/>
        <s v="S2246"/>
        <s v="S2247"/>
        <s v="S2248"/>
        <s v="S2249"/>
      </sharedItems>
    </cacheField>
    <cacheField name="math_score" numFmtId="0">
      <sharedItems containsSemiMixedTypes="0" containsString="0" containsNumber="1" containsInteger="1" minValue="40" maxValue="100"/>
    </cacheField>
    <cacheField name="science_score" numFmtId="0">
      <sharedItems containsSemiMixedTypes="0" containsString="0" containsNumber="1" containsInteger="1" minValue="40" maxValue="100"/>
    </cacheField>
    <cacheField name="english_score" numFmtId="0">
      <sharedItems containsSemiMixedTypes="0" containsString="0" containsNumber="1" containsInteger="1" minValue="40" maxValue="100"/>
    </cacheField>
    <cacheField name="attendance_percent" numFmtId="0">
      <sharedItems containsSemiMixedTypes="0" containsString="0" containsNumber="1" minValue="60" maxValue="99.96"/>
    </cacheField>
    <cacheField name="gender" numFmtId="0">
      <sharedItems count="2">
        <s v="Male"/>
        <s v="Female"/>
      </sharedItems>
    </cacheField>
    <cacheField name="grade_level" numFmtId="0">
      <sharedItems count="4">
        <s v="Grade 10"/>
        <s v="Grade 11"/>
        <s v="Grade 9"/>
        <s v="Grade 12"/>
      </sharedItems>
    </cacheField>
    <cacheField name="study_group" numFmtId="0">
      <sharedItems count="3">
        <s v="Group B"/>
        <s v="Group C"/>
        <s v="Group A"/>
      </sharedItems>
    </cacheField>
    <cacheField name="extra_curricular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0">
  <r>
    <x v="0"/>
    <n v="85"/>
    <n v="99"/>
    <n v="47"/>
    <n v="68.430000000000007"/>
    <x v="0"/>
    <x v="0"/>
    <x v="0"/>
    <x v="0"/>
  </r>
  <r>
    <x v="1"/>
    <n v="42"/>
    <n v="63"/>
    <n v="53"/>
    <n v="76.849999999999994"/>
    <x v="1"/>
    <x v="0"/>
    <x v="1"/>
    <x v="0"/>
  </r>
  <r>
    <x v="2"/>
    <n v="68"/>
    <n v="65"/>
    <n v="96"/>
    <n v="68.72"/>
    <x v="0"/>
    <x v="1"/>
    <x v="2"/>
    <x v="1"/>
  </r>
  <r>
    <x v="3"/>
    <n v="74"/>
    <n v="67"/>
    <n v="64"/>
    <n v="93.83"/>
    <x v="0"/>
    <x v="2"/>
    <x v="2"/>
    <x v="0"/>
  </r>
  <r>
    <x v="4"/>
    <n v="78"/>
    <n v="97"/>
    <n v="71"/>
    <n v="78.25"/>
    <x v="1"/>
    <x v="1"/>
    <x v="0"/>
    <x v="0"/>
  </r>
  <r>
    <x v="5"/>
    <n v="57"/>
    <n v="86"/>
    <n v="67"/>
    <n v="71.19"/>
    <x v="0"/>
    <x v="0"/>
    <x v="0"/>
    <x v="2"/>
  </r>
  <r>
    <x v="6"/>
    <n v="59"/>
    <n v="99"/>
    <n v="41"/>
    <n v="97.32"/>
    <x v="0"/>
    <x v="2"/>
    <x v="1"/>
    <x v="0"/>
  </r>
  <r>
    <x v="7"/>
    <n v="82"/>
    <n v="43"/>
    <n v="56"/>
    <n v="72.569999999999993"/>
    <x v="0"/>
    <x v="0"/>
    <x v="1"/>
    <x v="0"/>
  </r>
  <r>
    <x v="8"/>
    <n v="99"/>
    <n v="75"/>
    <n v="66"/>
    <n v="96.39"/>
    <x v="1"/>
    <x v="0"/>
    <x v="0"/>
    <x v="1"/>
  </r>
  <r>
    <x v="9"/>
    <n v="97"/>
    <n v="54"/>
    <n v="41"/>
    <n v="61.74"/>
    <x v="1"/>
    <x v="3"/>
    <x v="0"/>
    <x v="1"/>
  </r>
  <r>
    <x v="10"/>
    <n v="62"/>
    <n v="61"/>
    <n v="47"/>
    <n v="88.28"/>
    <x v="0"/>
    <x v="2"/>
    <x v="0"/>
    <x v="1"/>
  </r>
  <r>
    <x v="11"/>
    <n v="73"/>
    <n v="99"/>
    <n v="77"/>
    <n v="79.36"/>
    <x v="1"/>
    <x v="0"/>
    <x v="0"/>
    <x v="0"/>
  </r>
  <r>
    <x v="12"/>
    <n v="72"/>
    <n v="94"/>
    <n v="59"/>
    <n v="77.77"/>
    <x v="0"/>
    <x v="3"/>
    <x v="2"/>
    <x v="2"/>
  </r>
  <r>
    <x v="13"/>
    <n v="89"/>
    <n v="88"/>
    <n v="88"/>
    <n v="61.45"/>
    <x v="0"/>
    <x v="3"/>
    <x v="1"/>
    <x v="3"/>
  </r>
  <r>
    <x v="14"/>
    <n v="87"/>
    <n v="96"/>
    <n v="76"/>
    <n v="61.63"/>
    <x v="1"/>
    <x v="3"/>
    <x v="1"/>
    <x v="1"/>
  </r>
  <r>
    <x v="15"/>
    <n v="49"/>
    <n v="63"/>
    <n v="96"/>
    <n v="73.31"/>
    <x v="0"/>
    <x v="0"/>
    <x v="1"/>
    <x v="2"/>
  </r>
  <r>
    <x v="16"/>
    <n v="72"/>
    <n v="63"/>
    <n v="60"/>
    <n v="97.88"/>
    <x v="1"/>
    <x v="3"/>
    <x v="1"/>
    <x v="0"/>
  </r>
  <r>
    <x v="17"/>
    <n v="86"/>
    <n v="76"/>
    <n v="65"/>
    <n v="84.71"/>
    <x v="0"/>
    <x v="3"/>
    <x v="1"/>
    <x v="1"/>
  </r>
  <r>
    <x v="18"/>
    <n v="72"/>
    <n v="44"/>
    <n v="70"/>
    <n v="74.75"/>
    <x v="1"/>
    <x v="1"/>
    <x v="2"/>
    <x v="2"/>
  </r>
  <r>
    <x v="19"/>
    <n v="87"/>
    <n v="45"/>
    <n v="59"/>
    <n v="84.48"/>
    <x v="0"/>
    <x v="0"/>
    <x v="2"/>
    <x v="3"/>
  </r>
  <r>
    <x v="20"/>
    <n v="65"/>
    <n v="88"/>
    <n v="45"/>
    <n v="68.25"/>
    <x v="0"/>
    <x v="0"/>
    <x v="0"/>
    <x v="2"/>
  </r>
  <r>
    <x v="21"/>
    <n v="59"/>
    <n v="96"/>
    <n v="89"/>
    <n v="66.599999999999994"/>
    <x v="1"/>
    <x v="3"/>
    <x v="1"/>
    <x v="0"/>
  </r>
  <r>
    <x v="22"/>
    <n v="54"/>
    <n v="100"/>
    <n v="54"/>
    <n v="74.47"/>
    <x v="0"/>
    <x v="1"/>
    <x v="1"/>
    <x v="1"/>
  </r>
  <r>
    <x v="23"/>
    <n v="76"/>
    <n v="49"/>
    <n v="96"/>
    <n v="94.53"/>
    <x v="1"/>
    <x v="3"/>
    <x v="2"/>
    <x v="2"/>
  </r>
  <r>
    <x v="24"/>
    <n v="72"/>
    <n v="42"/>
    <n v="40"/>
    <n v="80.38"/>
    <x v="0"/>
    <x v="0"/>
    <x v="1"/>
    <x v="2"/>
  </r>
  <r>
    <x v="25"/>
    <n v="56"/>
    <n v="77"/>
    <n v="65"/>
    <n v="71.88"/>
    <x v="1"/>
    <x v="1"/>
    <x v="0"/>
    <x v="2"/>
  </r>
  <r>
    <x v="26"/>
    <n v="44"/>
    <n v="73"/>
    <n v="68"/>
    <n v="98.01"/>
    <x v="0"/>
    <x v="1"/>
    <x v="1"/>
    <x v="1"/>
  </r>
  <r>
    <x v="27"/>
    <n v="89"/>
    <n v="45"/>
    <n v="41"/>
    <n v="92.64"/>
    <x v="1"/>
    <x v="3"/>
    <x v="1"/>
    <x v="2"/>
  </r>
  <r>
    <x v="28"/>
    <n v="95"/>
    <n v="100"/>
    <n v="61"/>
    <n v="72.92"/>
    <x v="0"/>
    <x v="1"/>
    <x v="1"/>
    <x v="0"/>
  </r>
  <r>
    <x v="29"/>
    <n v="43"/>
    <n v="49"/>
    <n v="100"/>
    <n v="98.88"/>
    <x v="0"/>
    <x v="2"/>
    <x v="0"/>
    <x v="0"/>
  </r>
  <r>
    <x v="30"/>
    <n v="42"/>
    <n v="55"/>
    <n v="99"/>
    <n v="99.49"/>
    <x v="1"/>
    <x v="0"/>
    <x v="0"/>
    <x v="3"/>
  </r>
  <r>
    <x v="31"/>
    <n v="60"/>
    <n v="99"/>
    <n v="68"/>
    <n v="76.349999999999994"/>
    <x v="1"/>
    <x v="1"/>
    <x v="2"/>
    <x v="3"/>
  </r>
  <r>
    <x v="32"/>
    <n v="79"/>
    <n v="68"/>
    <n v="48"/>
    <n v="86.24"/>
    <x v="0"/>
    <x v="1"/>
    <x v="1"/>
    <x v="3"/>
  </r>
  <r>
    <x v="33"/>
    <n v="42"/>
    <n v="42"/>
    <n v="80"/>
    <n v="76.23"/>
    <x v="0"/>
    <x v="1"/>
    <x v="2"/>
    <x v="1"/>
  </r>
  <r>
    <x v="34"/>
    <n v="60"/>
    <n v="50"/>
    <n v="60"/>
    <n v="70.290000000000006"/>
    <x v="1"/>
    <x v="2"/>
    <x v="0"/>
    <x v="0"/>
  </r>
  <r>
    <x v="35"/>
    <n v="87"/>
    <n v="76"/>
    <n v="94"/>
    <n v="63.31"/>
    <x v="0"/>
    <x v="3"/>
    <x v="0"/>
    <x v="0"/>
  </r>
  <r>
    <x v="36"/>
    <n v="96"/>
    <n v="43"/>
    <n v="96"/>
    <n v="70.540000000000006"/>
    <x v="0"/>
    <x v="3"/>
    <x v="1"/>
    <x v="3"/>
  </r>
  <r>
    <x v="37"/>
    <n v="88"/>
    <n v="88"/>
    <n v="71"/>
    <n v="70.86"/>
    <x v="1"/>
    <x v="0"/>
    <x v="2"/>
    <x v="3"/>
  </r>
  <r>
    <x v="38"/>
    <n v="47"/>
    <n v="43"/>
    <n v="71"/>
    <n v="75.95"/>
    <x v="0"/>
    <x v="0"/>
    <x v="0"/>
    <x v="2"/>
  </r>
  <r>
    <x v="39"/>
    <n v="81"/>
    <n v="63"/>
    <n v="86"/>
    <n v="67.400000000000006"/>
    <x v="0"/>
    <x v="0"/>
    <x v="0"/>
    <x v="3"/>
  </r>
  <r>
    <x v="40"/>
    <n v="75"/>
    <n v="67"/>
    <n v="83"/>
    <n v="98.15"/>
    <x v="0"/>
    <x v="1"/>
    <x v="2"/>
    <x v="1"/>
  </r>
  <r>
    <x v="41"/>
    <n v="100"/>
    <n v="95"/>
    <n v="79"/>
    <n v="64.12"/>
    <x v="1"/>
    <x v="0"/>
    <x v="2"/>
    <x v="3"/>
  </r>
  <r>
    <x v="42"/>
    <n v="68"/>
    <n v="74"/>
    <n v="65"/>
    <n v="85.01"/>
    <x v="1"/>
    <x v="1"/>
    <x v="0"/>
    <x v="0"/>
  </r>
  <r>
    <x v="43"/>
    <n v="92"/>
    <n v="77"/>
    <n v="87"/>
    <n v="77.67"/>
    <x v="1"/>
    <x v="0"/>
    <x v="1"/>
    <x v="1"/>
  </r>
  <r>
    <x v="44"/>
    <n v="78"/>
    <n v="89"/>
    <n v="52"/>
    <n v="76.94"/>
    <x v="0"/>
    <x v="3"/>
    <x v="1"/>
    <x v="2"/>
  </r>
  <r>
    <x v="45"/>
    <n v="73"/>
    <n v="63"/>
    <n v="42"/>
    <n v="74.88"/>
    <x v="1"/>
    <x v="3"/>
    <x v="1"/>
    <x v="1"/>
  </r>
  <r>
    <x v="46"/>
    <n v="61"/>
    <n v="61"/>
    <n v="71"/>
    <n v="94.73"/>
    <x v="1"/>
    <x v="0"/>
    <x v="1"/>
    <x v="2"/>
  </r>
  <r>
    <x v="47"/>
    <n v="94"/>
    <n v="65"/>
    <n v="72"/>
    <n v="71.22"/>
    <x v="0"/>
    <x v="0"/>
    <x v="2"/>
    <x v="2"/>
  </r>
  <r>
    <x v="48"/>
    <n v="70"/>
    <n v="57"/>
    <n v="72"/>
    <n v="60.82"/>
    <x v="1"/>
    <x v="2"/>
    <x v="0"/>
    <x v="0"/>
  </r>
  <r>
    <x v="49"/>
    <n v="67"/>
    <n v="98"/>
    <n v="81"/>
    <n v="96.72"/>
    <x v="1"/>
    <x v="2"/>
    <x v="0"/>
    <x v="1"/>
  </r>
  <r>
    <x v="50"/>
    <n v="74"/>
    <n v="42"/>
    <n v="81"/>
    <n v="94.58"/>
    <x v="0"/>
    <x v="0"/>
    <x v="1"/>
    <x v="2"/>
  </r>
  <r>
    <x v="51"/>
    <n v="73"/>
    <n v="85"/>
    <n v="52"/>
    <n v="71.08"/>
    <x v="0"/>
    <x v="0"/>
    <x v="0"/>
    <x v="1"/>
  </r>
  <r>
    <x v="52"/>
    <n v="52"/>
    <n v="50"/>
    <n v="82"/>
    <n v="80.94"/>
    <x v="0"/>
    <x v="0"/>
    <x v="2"/>
    <x v="2"/>
  </r>
  <r>
    <x v="53"/>
    <n v="80"/>
    <n v="48"/>
    <n v="45"/>
    <n v="64.36"/>
    <x v="1"/>
    <x v="0"/>
    <x v="0"/>
    <x v="3"/>
  </r>
  <r>
    <x v="54"/>
    <n v="43"/>
    <n v="93"/>
    <n v="43"/>
    <n v="63.74"/>
    <x v="1"/>
    <x v="1"/>
    <x v="0"/>
    <x v="3"/>
  </r>
  <r>
    <x v="55"/>
    <n v="82"/>
    <n v="72"/>
    <n v="77"/>
    <n v="93.5"/>
    <x v="1"/>
    <x v="2"/>
    <x v="0"/>
    <x v="1"/>
  </r>
  <r>
    <x v="56"/>
    <n v="45"/>
    <n v="65"/>
    <n v="45"/>
    <n v="76.41"/>
    <x v="1"/>
    <x v="0"/>
    <x v="1"/>
    <x v="1"/>
  </r>
  <r>
    <x v="57"/>
    <n v="40"/>
    <n v="75"/>
    <n v="90"/>
    <n v="86.47"/>
    <x v="1"/>
    <x v="3"/>
    <x v="1"/>
    <x v="2"/>
  </r>
  <r>
    <x v="58"/>
    <n v="51"/>
    <n v="43"/>
    <n v="42"/>
    <n v="97.73"/>
    <x v="1"/>
    <x v="2"/>
    <x v="0"/>
    <x v="2"/>
  </r>
  <r>
    <x v="59"/>
    <n v="74"/>
    <n v="91"/>
    <n v="66"/>
    <n v="69.81"/>
    <x v="0"/>
    <x v="1"/>
    <x v="2"/>
    <x v="2"/>
  </r>
  <r>
    <x v="60"/>
    <n v="98"/>
    <n v="41"/>
    <n v="79"/>
    <n v="60.53"/>
    <x v="0"/>
    <x v="3"/>
    <x v="0"/>
    <x v="0"/>
  </r>
  <r>
    <x v="61"/>
    <n v="50"/>
    <n v="47"/>
    <n v="59"/>
    <n v="60.97"/>
    <x v="0"/>
    <x v="2"/>
    <x v="2"/>
    <x v="0"/>
  </r>
  <r>
    <x v="62"/>
    <n v="62"/>
    <n v="46"/>
    <n v="57"/>
    <n v="88.38"/>
    <x v="0"/>
    <x v="0"/>
    <x v="2"/>
    <x v="1"/>
  </r>
  <r>
    <x v="63"/>
    <n v="53"/>
    <n v="75"/>
    <n v="59"/>
    <n v="96.98"/>
    <x v="1"/>
    <x v="0"/>
    <x v="2"/>
    <x v="1"/>
  </r>
  <r>
    <x v="64"/>
    <n v="58"/>
    <n v="73"/>
    <n v="69"/>
    <n v="78.69"/>
    <x v="0"/>
    <x v="1"/>
    <x v="2"/>
    <x v="3"/>
  </r>
  <r>
    <x v="65"/>
    <n v="76"/>
    <n v="79"/>
    <n v="49"/>
    <n v="75"/>
    <x v="0"/>
    <x v="0"/>
    <x v="1"/>
    <x v="3"/>
  </r>
  <r>
    <x v="66"/>
    <n v="55"/>
    <n v="58"/>
    <n v="91"/>
    <n v="81.709999999999994"/>
    <x v="0"/>
    <x v="0"/>
    <x v="0"/>
    <x v="1"/>
  </r>
  <r>
    <x v="67"/>
    <n v="83"/>
    <n v="68"/>
    <n v="62"/>
    <n v="94.36"/>
    <x v="1"/>
    <x v="0"/>
    <x v="2"/>
    <x v="2"/>
  </r>
  <r>
    <x v="68"/>
    <n v="67"/>
    <n v="78"/>
    <n v="86"/>
    <n v="86.09"/>
    <x v="0"/>
    <x v="3"/>
    <x v="2"/>
    <x v="0"/>
  </r>
  <r>
    <x v="69"/>
    <n v="84"/>
    <n v="45"/>
    <n v="42"/>
    <n v="69.319999999999993"/>
    <x v="1"/>
    <x v="0"/>
    <x v="0"/>
    <x v="1"/>
  </r>
  <r>
    <x v="70"/>
    <n v="70"/>
    <n v="49"/>
    <n v="91"/>
    <n v="90.98"/>
    <x v="0"/>
    <x v="3"/>
    <x v="2"/>
    <x v="1"/>
  </r>
  <r>
    <x v="71"/>
    <n v="92"/>
    <n v="80"/>
    <n v="89"/>
    <n v="65.38"/>
    <x v="0"/>
    <x v="3"/>
    <x v="1"/>
    <x v="3"/>
  </r>
  <r>
    <x v="72"/>
    <n v="46"/>
    <n v="81"/>
    <n v="97"/>
    <n v="66.62"/>
    <x v="0"/>
    <x v="0"/>
    <x v="2"/>
    <x v="1"/>
  </r>
  <r>
    <x v="73"/>
    <n v="85"/>
    <n v="44"/>
    <n v="48"/>
    <n v="84.51"/>
    <x v="1"/>
    <x v="2"/>
    <x v="1"/>
    <x v="3"/>
  </r>
  <r>
    <x v="74"/>
    <n v="91"/>
    <n v="98"/>
    <n v="88"/>
    <n v="69.55"/>
    <x v="0"/>
    <x v="1"/>
    <x v="1"/>
    <x v="0"/>
  </r>
  <r>
    <x v="75"/>
    <n v="66"/>
    <n v="63"/>
    <n v="58"/>
    <n v="88.19"/>
    <x v="1"/>
    <x v="3"/>
    <x v="2"/>
    <x v="1"/>
  </r>
  <r>
    <x v="76"/>
    <n v="56"/>
    <n v="80"/>
    <n v="75"/>
    <n v="73.98"/>
    <x v="0"/>
    <x v="2"/>
    <x v="0"/>
    <x v="0"/>
  </r>
  <r>
    <x v="77"/>
    <n v="46"/>
    <n v="61"/>
    <n v="79"/>
    <n v="71.099999999999994"/>
    <x v="0"/>
    <x v="0"/>
    <x v="1"/>
    <x v="3"/>
  </r>
  <r>
    <x v="78"/>
    <n v="54"/>
    <n v="65"/>
    <n v="66"/>
    <n v="99.96"/>
    <x v="0"/>
    <x v="1"/>
    <x v="2"/>
    <x v="2"/>
  </r>
  <r>
    <x v="79"/>
    <n v="92"/>
    <n v="90"/>
    <n v="81"/>
    <n v="61.62"/>
    <x v="0"/>
    <x v="1"/>
    <x v="0"/>
    <x v="2"/>
  </r>
  <r>
    <x v="80"/>
    <n v="79"/>
    <n v="76"/>
    <n v="67"/>
    <n v="85.83"/>
    <x v="0"/>
    <x v="2"/>
    <x v="1"/>
    <x v="0"/>
  </r>
  <r>
    <x v="81"/>
    <n v="51"/>
    <n v="84"/>
    <n v="82"/>
    <n v="61.55"/>
    <x v="1"/>
    <x v="3"/>
    <x v="2"/>
    <x v="2"/>
  </r>
  <r>
    <x v="82"/>
    <n v="94"/>
    <n v="68"/>
    <n v="90"/>
    <n v="90.41"/>
    <x v="1"/>
    <x v="3"/>
    <x v="2"/>
    <x v="0"/>
  </r>
  <r>
    <x v="83"/>
    <n v="47"/>
    <n v="75"/>
    <n v="47"/>
    <n v="69.2"/>
    <x v="0"/>
    <x v="1"/>
    <x v="2"/>
    <x v="2"/>
  </r>
  <r>
    <x v="84"/>
    <n v="41"/>
    <n v="59"/>
    <n v="81"/>
    <n v="63.59"/>
    <x v="1"/>
    <x v="2"/>
    <x v="1"/>
    <x v="1"/>
  </r>
  <r>
    <x v="85"/>
    <n v="83"/>
    <n v="57"/>
    <n v="87"/>
    <n v="85.94"/>
    <x v="1"/>
    <x v="0"/>
    <x v="2"/>
    <x v="3"/>
  </r>
  <r>
    <x v="86"/>
    <n v="98"/>
    <n v="79"/>
    <n v="47"/>
    <n v="89.3"/>
    <x v="1"/>
    <x v="2"/>
    <x v="2"/>
    <x v="2"/>
  </r>
  <r>
    <x v="87"/>
    <n v="77"/>
    <n v="84"/>
    <n v="57"/>
    <n v="87.12"/>
    <x v="0"/>
    <x v="2"/>
    <x v="0"/>
    <x v="0"/>
  </r>
  <r>
    <x v="88"/>
    <n v="95"/>
    <n v="80"/>
    <n v="98"/>
    <n v="62.08"/>
    <x v="1"/>
    <x v="3"/>
    <x v="1"/>
    <x v="3"/>
  </r>
  <r>
    <x v="89"/>
    <n v="65"/>
    <n v="93"/>
    <n v="60"/>
    <n v="71.77"/>
    <x v="1"/>
    <x v="2"/>
    <x v="2"/>
    <x v="1"/>
  </r>
  <r>
    <x v="90"/>
    <n v="90"/>
    <n v="95"/>
    <n v="85"/>
    <n v="78.040000000000006"/>
    <x v="1"/>
    <x v="0"/>
    <x v="1"/>
    <x v="1"/>
  </r>
  <r>
    <x v="91"/>
    <n v="60"/>
    <n v="95"/>
    <n v="52"/>
    <n v="71.48"/>
    <x v="0"/>
    <x v="2"/>
    <x v="2"/>
    <x v="0"/>
  </r>
  <r>
    <x v="92"/>
    <n v="96"/>
    <n v="54"/>
    <n v="66"/>
    <n v="92.42"/>
    <x v="1"/>
    <x v="3"/>
    <x v="2"/>
    <x v="2"/>
  </r>
  <r>
    <x v="93"/>
    <n v="89"/>
    <n v="54"/>
    <n v="86"/>
    <n v="65.239999999999995"/>
    <x v="1"/>
    <x v="3"/>
    <x v="0"/>
    <x v="2"/>
  </r>
  <r>
    <x v="94"/>
    <n v="52"/>
    <n v="63"/>
    <n v="99"/>
    <n v="84.49"/>
    <x v="1"/>
    <x v="3"/>
    <x v="2"/>
    <x v="3"/>
  </r>
  <r>
    <x v="95"/>
    <n v="58"/>
    <n v="68"/>
    <n v="79"/>
    <n v="99.53"/>
    <x v="0"/>
    <x v="1"/>
    <x v="2"/>
    <x v="0"/>
  </r>
  <r>
    <x v="96"/>
    <n v="57"/>
    <n v="93"/>
    <n v="92"/>
    <n v="96.1"/>
    <x v="0"/>
    <x v="2"/>
    <x v="0"/>
    <x v="0"/>
  </r>
  <r>
    <x v="97"/>
    <n v="41"/>
    <n v="56"/>
    <n v="55"/>
    <n v="68.89"/>
    <x v="0"/>
    <x v="1"/>
    <x v="2"/>
    <x v="3"/>
  </r>
  <r>
    <x v="98"/>
    <n v="91"/>
    <n v="88"/>
    <n v="79"/>
    <n v="60"/>
    <x v="1"/>
    <x v="1"/>
    <x v="2"/>
    <x v="3"/>
  </r>
  <r>
    <x v="99"/>
    <n v="84"/>
    <n v="86"/>
    <n v="48"/>
    <n v="99.22"/>
    <x v="0"/>
    <x v="0"/>
    <x v="0"/>
    <x v="2"/>
  </r>
  <r>
    <x v="100"/>
    <n v="93"/>
    <n v="64"/>
    <n v="66"/>
    <n v="95.31"/>
    <x v="0"/>
    <x v="2"/>
    <x v="2"/>
    <x v="3"/>
  </r>
  <r>
    <x v="101"/>
    <n v="81"/>
    <n v="55"/>
    <n v="56"/>
    <n v="96.78"/>
    <x v="1"/>
    <x v="2"/>
    <x v="0"/>
    <x v="0"/>
  </r>
  <r>
    <x v="102"/>
    <n v="88"/>
    <n v="89"/>
    <n v="42"/>
    <n v="76.62"/>
    <x v="0"/>
    <x v="1"/>
    <x v="1"/>
    <x v="1"/>
  </r>
  <r>
    <x v="103"/>
    <n v="96"/>
    <n v="56"/>
    <n v="95"/>
    <n v="89.78"/>
    <x v="0"/>
    <x v="1"/>
    <x v="0"/>
    <x v="1"/>
  </r>
  <r>
    <x v="104"/>
    <n v="67"/>
    <n v="86"/>
    <n v="92"/>
    <n v="68.510000000000005"/>
    <x v="0"/>
    <x v="1"/>
    <x v="0"/>
    <x v="1"/>
  </r>
  <r>
    <x v="105"/>
    <n v="89"/>
    <n v="86"/>
    <n v="43"/>
    <n v="75.69"/>
    <x v="1"/>
    <x v="3"/>
    <x v="2"/>
    <x v="1"/>
  </r>
  <r>
    <x v="106"/>
    <n v="62"/>
    <n v="60"/>
    <n v="79"/>
    <n v="94.06"/>
    <x v="1"/>
    <x v="2"/>
    <x v="1"/>
    <x v="0"/>
  </r>
  <r>
    <x v="107"/>
    <n v="43"/>
    <n v="83"/>
    <n v="91"/>
    <n v="65.099999999999994"/>
    <x v="1"/>
    <x v="0"/>
    <x v="2"/>
    <x v="1"/>
  </r>
  <r>
    <x v="108"/>
    <n v="43"/>
    <n v="87"/>
    <n v="95"/>
    <n v="95.75"/>
    <x v="0"/>
    <x v="2"/>
    <x v="2"/>
    <x v="0"/>
  </r>
  <r>
    <x v="109"/>
    <n v="51"/>
    <n v="66"/>
    <n v="40"/>
    <n v="79.86"/>
    <x v="1"/>
    <x v="1"/>
    <x v="2"/>
    <x v="2"/>
  </r>
  <r>
    <x v="110"/>
    <n v="61"/>
    <n v="93"/>
    <n v="53"/>
    <n v="77.040000000000006"/>
    <x v="0"/>
    <x v="0"/>
    <x v="2"/>
    <x v="1"/>
  </r>
  <r>
    <x v="111"/>
    <n v="65"/>
    <n v="44"/>
    <n v="47"/>
    <n v="72.23"/>
    <x v="1"/>
    <x v="3"/>
    <x v="2"/>
    <x v="0"/>
  </r>
  <r>
    <x v="112"/>
    <n v="79"/>
    <n v="61"/>
    <n v="46"/>
    <n v="96.67"/>
    <x v="1"/>
    <x v="0"/>
    <x v="1"/>
    <x v="2"/>
  </r>
  <r>
    <x v="113"/>
    <n v="81"/>
    <n v="72"/>
    <n v="69"/>
    <n v="80.7"/>
    <x v="0"/>
    <x v="3"/>
    <x v="0"/>
    <x v="2"/>
  </r>
  <r>
    <x v="114"/>
    <n v="74"/>
    <n v="79"/>
    <n v="64"/>
    <n v="92.16"/>
    <x v="1"/>
    <x v="2"/>
    <x v="1"/>
    <x v="2"/>
  </r>
  <r>
    <x v="115"/>
    <n v="43"/>
    <n v="41"/>
    <n v="78"/>
    <n v="94.31"/>
    <x v="1"/>
    <x v="2"/>
    <x v="0"/>
    <x v="1"/>
  </r>
  <r>
    <x v="116"/>
    <n v="51"/>
    <n v="74"/>
    <n v="55"/>
    <n v="96.9"/>
    <x v="1"/>
    <x v="1"/>
    <x v="0"/>
    <x v="3"/>
  </r>
  <r>
    <x v="117"/>
    <n v="43"/>
    <n v="82"/>
    <n v="50"/>
    <n v="72.14"/>
    <x v="0"/>
    <x v="0"/>
    <x v="1"/>
    <x v="0"/>
  </r>
  <r>
    <x v="118"/>
    <n v="91"/>
    <n v="58"/>
    <n v="64"/>
    <n v="73.59"/>
    <x v="1"/>
    <x v="0"/>
    <x v="2"/>
    <x v="1"/>
  </r>
  <r>
    <x v="119"/>
    <n v="96"/>
    <n v="79"/>
    <n v="72"/>
    <n v="83.8"/>
    <x v="0"/>
    <x v="2"/>
    <x v="1"/>
    <x v="0"/>
  </r>
  <r>
    <x v="120"/>
    <n v="70"/>
    <n v="66"/>
    <n v="100"/>
    <n v="77.650000000000006"/>
    <x v="1"/>
    <x v="0"/>
    <x v="2"/>
    <x v="0"/>
  </r>
  <r>
    <x v="121"/>
    <n v="46"/>
    <n v="79"/>
    <n v="93"/>
    <n v="97.31"/>
    <x v="1"/>
    <x v="2"/>
    <x v="2"/>
    <x v="3"/>
  </r>
  <r>
    <x v="122"/>
    <n v="49"/>
    <n v="75"/>
    <n v="91"/>
    <n v="75.900000000000006"/>
    <x v="1"/>
    <x v="0"/>
    <x v="0"/>
    <x v="1"/>
  </r>
  <r>
    <x v="123"/>
    <n v="63"/>
    <n v="98"/>
    <n v="90"/>
    <n v="79.11"/>
    <x v="1"/>
    <x v="3"/>
    <x v="1"/>
    <x v="3"/>
  </r>
  <r>
    <x v="124"/>
    <n v="54"/>
    <n v="78"/>
    <n v="87"/>
    <n v="84.69"/>
    <x v="0"/>
    <x v="2"/>
    <x v="2"/>
    <x v="2"/>
  </r>
  <r>
    <x v="125"/>
    <n v="78"/>
    <n v="41"/>
    <n v="60"/>
    <n v="76.19"/>
    <x v="0"/>
    <x v="1"/>
    <x v="2"/>
    <x v="1"/>
  </r>
  <r>
    <x v="126"/>
    <n v="59"/>
    <n v="80"/>
    <n v="91"/>
    <n v="99.7"/>
    <x v="1"/>
    <x v="3"/>
    <x v="1"/>
    <x v="2"/>
  </r>
  <r>
    <x v="127"/>
    <n v="97"/>
    <n v="92"/>
    <n v="91"/>
    <n v="63.95"/>
    <x v="0"/>
    <x v="3"/>
    <x v="2"/>
    <x v="3"/>
  </r>
  <r>
    <x v="128"/>
    <n v="46"/>
    <n v="57"/>
    <n v="49"/>
    <n v="68.819999999999993"/>
    <x v="0"/>
    <x v="1"/>
    <x v="0"/>
    <x v="2"/>
  </r>
  <r>
    <x v="129"/>
    <n v="52"/>
    <n v="85"/>
    <n v="95"/>
    <n v="72.91"/>
    <x v="1"/>
    <x v="0"/>
    <x v="0"/>
    <x v="0"/>
  </r>
  <r>
    <x v="130"/>
    <n v="94"/>
    <n v="62"/>
    <n v="89"/>
    <n v="65.91"/>
    <x v="0"/>
    <x v="3"/>
    <x v="1"/>
    <x v="3"/>
  </r>
  <r>
    <x v="131"/>
    <n v="67"/>
    <n v="93"/>
    <n v="48"/>
    <n v="71.37"/>
    <x v="1"/>
    <x v="2"/>
    <x v="1"/>
    <x v="2"/>
  </r>
  <r>
    <x v="132"/>
    <n v="78"/>
    <n v="65"/>
    <n v="40"/>
    <n v="91.17"/>
    <x v="0"/>
    <x v="2"/>
    <x v="1"/>
    <x v="2"/>
  </r>
  <r>
    <x v="133"/>
    <n v="57"/>
    <n v="50"/>
    <n v="73"/>
    <n v="80.92"/>
    <x v="0"/>
    <x v="1"/>
    <x v="1"/>
    <x v="2"/>
  </r>
  <r>
    <x v="134"/>
    <n v="86"/>
    <n v="87"/>
    <n v="70"/>
    <n v="61.36"/>
    <x v="1"/>
    <x v="2"/>
    <x v="0"/>
    <x v="2"/>
  </r>
  <r>
    <x v="135"/>
    <n v="50"/>
    <n v="40"/>
    <n v="60"/>
    <n v="99.3"/>
    <x v="0"/>
    <x v="0"/>
    <x v="0"/>
    <x v="1"/>
  </r>
  <r>
    <x v="136"/>
    <n v="75"/>
    <n v="75"/>
    <n v="63"/>
    <n v="84.64"/>
    <x v="0"/>
    <x v="3"/>
    <x v="0"/>
    <x v="2"/>
  </r>
  <r>
    <x v="137"/>
    <n v="92"/>
    <n v="89"/>
    <n v="58"/>
    <n v="62.36"/>
    <x v="0"/>
    <x v="1"/>
    <x v="2"/>
    <x v="2"/>
  </r>
  <r>
    <x v="138"/>
    <n v="75"/>
    <n v="59"/>
    <n v="100"/>
    <n v="86.45"/>
    <x v="1"/>
    <x v="1"/>
    <x v="2"/>
    <x v="1"/>
  </r>
  <r>
    <x v="139"/>
    <n v="41"/>
    <n v="70"/>
    <n v="87"/>
    <n v="75.13"/>
    <x v="1"/>
    <x v="1"/>
    <x v="2"/>
    <x v="2"/>
  </r>
  <r>
    <x v="140"/>
    <n v="87"/>
    <n v="47"/>
    <n v="99"/>
    <n v="65.430000000000007"/>
    <x v="0"/>
    <x v="0"/>
    <x v="0"/>
    <x v="2"/>
  </r>
  <r>
    <x v="141"/>
    <n v="85"/>
    <n v="79"/>
    <n v="99"/>
    <n v="82.55"/>
    <x v="1"/>
    <x v="2"/>
    <x v="1"/>
    <x v="2"/>
  </r>
  <r>
    <x v="142"/>
    <n v="56"/>
    <n v="63"/>
    <n v="60"/>
    <n v="89.08"/>
    <x v="0"/>
    <x v="2"/>
    <x v="1"/>
    <x v="1"/>
  </r>
  <r>
    <x v="143"/>
    <n v="45"/>
    <n v="93"/>
    <n v="64"/>
    <n v="86.85"/>
    <x v="1"/>
    <x v="0"/>
    <x v="2"/>
    <x v="0"/>
  </r>
  <r>
    <x v="144"/>
    <n v="80"/>
    <n v="59"/>
    <n v="59"/>
    <n v="69.900000000000006"/>
    <x v="0"/>
    <x v="2"/>
    <x v="2"/>
    <x v="0"/>
  </r>
  <r>
    <x v="145"/>
    <n v="85"/>
    <n v="94"/>
    <n v="92"/>
    <n v="80.989999999999995"/>
    <x v="0"/>
    <x v="3"/>
    <x v="1"/>
    <x v="1"/>
  </r>
  <r>
    <x v="146"/>
    <n v="62"/>
    <n v="54"/>
    <n v="65"/>
    <n v="81.510000000000005"/>
    <x v="1"/>
    <x v="0"/>
    <x v="2"/>
    <x v="0"/>
  </r>
  <r>
    <x v="147"/>
    <n v="86"/>
    <n v="69"/>
    <n v="46"/>
    <n v="88.67"/>
    <x v="0"/>
    <x v="1"/>
    <x v="2"/>
    <x v="0"/>
  </r>
  <r>
    <x v="148"/>
    <n v="55"/>
    <n v="59"/>
    <n v="42"/>
    <n v="74.39"/>
    <x v="0"/>
    <x v="0"/>
    <x v="0"/>
    <x v="1"/>
  </r>
  <r>
    <x v="149"/>
    <n v="99"/>
    <n v="77"/>
    <n v="79"/>
    <n v="91.91"/>
    <x v="0"/>
    <x v="3"/>
    <x v="2"/>
    <x v="3"/>
  </r>
  <r>
    <x v="150"/>
    <n v="80"/>
    <n v="41"/>
    <n v="95"/>
    <n v="85.12"/>
    <x v="1"/>
    <x v="1"/>
    <x v="0"/>
    <x v="1"/>
  </r>
  <r>
    <x v="151"/>
    <n v="65"/>
    <n v="45"/>
    <n v="87"/>
    <n v="61.53"/>
    <x v="1"/>
    <x v="1"/>
    <x v="0"/>
    <x v="0"/>
  </r>
  <r>
    <x v="152"/>
    <n v="85"/>
    <n v="81"/>
    <n v="47"/>
    <n v="81.86"/>
    <x v="0"/>
    <x v="2"/>
    <x v="2"/>
    <x v="0"/>
  </r>
  <r>
    <x v="153"/>
    <n v="89"/>
    <n v="57"/>
    <n v="92"/>
    <n v="94.48"/>
    <x v="0"/>
    <x v="2"/>
    <x v="0"/>
    <x v="2"/>
  </r>
  <r>
    <x v="154"/>
    <n v="40"/>
    <n v="75"/>
    <n v="69"/>
    <n v="82.7"/>
    <x v="1"/>
    <x v="2"/>
    <x v="0"/>
    <x v="3"/>
  </r>
  <r>
    <x v="155"/>
    <n v="75"/>
    <n v="53"/>
    <n v="50"/>
    <n v="67.03"/>
    <x v="0"/>
    <x v="2"/>
    <x v="0"/>
    <x v="0"/>
  </r>
  <r>
    <x v="156"/>
    <n v="69"/>
    <n v="65"/>
    <n v="47"/>
    <n v="80.42"/>
    <x v="0"/>
    <x v="3"/>
    <x v="1"/>
    <x v="2"/>
  </r>
  <r>
    <x v="157"/>
    <n v="41"/>
    <n v="73"/>
    <n v="96"/>
    <n v="90.28"/>
    <x v="1"/>
    <x v="3"/>
    <x v="2"/>
    <x v="3"/>
  </r>
  <r>
    <x v="158"/>
    <n v="59"/>
    <n v="93"/>
    <n v="76"/>
    <n v="64.400000000000006"/>
    <x v="0"/>
    <x v="3"/>
    <x v="1"/>
    <x v="0"/>
  </r>
  <r>
    <x v="159"/>
    <n v="44"/>
    <n v="69"/>
    <n v="56"/>
    <n v="92.68"/>
    <x v="0"/>
    <x v="2"/>
    <x v="0"/>
    <x v="3"/>
  </r>
  <r>
    <x v="160"/>
    <n v="70"/>
    <n v="46"/>
    <n v="47"/>
    <n v="66.7"/>
    <x v="1"/>
    <x v="2"/>
    <x v="0"/>
    <x v="2"/>
  </r>
  <r>
    <x v="161"/>
    <n v="47"/>
    <n v="98"/>
    <n v="86"/>
    <n v="81.36"/>
    <x v="0"/>
    <x v="2"/>
    <x v="1"/>
    <x v="0"/>
  </r>
  <r>
    <x v="162"/>
    <n v="69"/>
    <n v="69"/>
    <n v="83"/>
    <n v="75.430000000000007"/>
    <x v="0"/>
    <x v="1"/>
    <x v="0"/>
    <x v="1"/>
  </r>
  <r>
    <x v="163"/>
    <n v="78"/>
    <n v="57"/>
    <n v="69"/>
    <n v="69.94"/>
    <x v="0"/>
    <x v="1"/>
    <x v="0"/>
    <x v="1"/>
  </r>
  <r>
    <x v="164"/>
    <n v="100"/>
    <n v="61"/>
    <n v="82"/>
    <n v="85.9"/>
    <x v="0"/>
    <x v="0"/>
    <x v="2"/>
    <x v="0"/>
  </r>
  <r>
    <x v="165"/>
    <n v="41"/>
    <n v="56"/>
    <n v="82"/>
    <n v="61.5"/>
    <x v="0"/>
    <x v="2"/>
    <x v="0"/>
    <x v="0"/>
  </r>
  <r>
    <x v="166"/>
    <n v="92"/>
    <n v="70"/>
    <n v="55"/>
    <n v="90.4"/>
    <x v="0"/>
    <x v="0"/>
    <x v="1"/>
    <x v="2"/>
  </r>
  <r>
    <x v="167"/>
    <n v="52"/>
    <n v="95"/>
    <n v="94"/>
    <n v="81.08"/>
    <x v="1"/>
    <x v="2"/>
    <x v="2"/>
    <x v="2"/>
  </r>
  <r>
    <x v="168"/>
    <n v="43"/>
    <n v="56"/>
    <n v="43"/>
    <n v="95.03"/>
    <x v="0"/>
    <x v="2"/>
    <x v="0"/>
    <x v="2"/>
  </r>
  <r>
    <x v="169"/>
    <n v="84"/>
    <n v="70"/>
    <n v="60"/>
    <n v="80.83"/>
    <x v="1"/>
    <x v="1"/>
    <x v="2"/>
    <x v="0"/>
  </r>
  <r>
    <x v="170"/>
    <n v="91"/>
    <n v="52"/>
    <n v="89"/>
    <n v="61.4"/>
    <x v="0"/>
    <x v="3"/>
    <x v="1"/>
    <x v="3"/>
  </r>
  <r>
    <x v="171"/>
    <n v="47"/>
    <n v="66"/>
    <n v="73"/>
    <n v="65.739999999999995"/>
    <x v="1"/>
    <x v="3"/>
    <x v="0"/>
    <x v="3"/>
  </r>
  <r>
    <x v="172"/>
    <n v="78"/>
    <n v="59"/>
    <n v="79"/>
    <n v="91.82"/>
    <x v="0"/>
    <x v="1"/>
    <x v="0"/>
    <x v="0"/>
  </r>
  <r>
    <x v="173"/>
    <n v="64"/>
    <n v="56"/>
    <n v="74"/>
    <n v="79.680000000000007"/>
    <x v="1"/>
    <x v="0"/>
    <x v="0"/>
    <x v="3"/>
  </r>
  <r>
    <x v="174"/>
    <n v="46"/>
    <n v="68"/>
    <n v="52"/>
    <n v="77.680000000000007"/>
    <x v="0"/>
    <x v="1"/>
    <x v="1"/>
    <x v="1"/>
  </r>
  <r>
    <x v="175"/>
    <n v="53"/>
    <n v="78"/>
    <n v="82"/>
    <n v="72.739999999999995"/>
    <x v="0"/>
    <x v="0"/>
    <x v="2"/>
    <x v="0"/>
  </r>
  <r>
    <x v="176"/>
    <n v="68"/>
    <n v="74"/>
    <n v="66"/>
    <n v="71.38"/>
    <x v="1"/>
    <x v="2"/>
    <x v="1"/>
    <x v="1"/>
  </r>
  <r>
    <x v="177"/>
    <n v="84"/>
    <n v="47"/>
    <n v="47"/>
    <n v="98.64"/>
    <x v="1"/>
    <x v="2"/>
    <x v="0"/>
    <x v="1"/>
  </r>
  <r>
    <x v="178"/>
    <n v="60"/>
    <n v="82"/>
    <n v="80"/>
    <n v="77.319999999999993"/>
    <x v="1"/>
    <x v="2"/>
    <x v="1"/>
    <x v="1"/>
  </r>
  <r>
    <x v="179"/>
    <n v="76"/>
    <n v="77"/>
    <n v="81"/>
    <n v="95.36"/>
    <x v="0"/>
    <x v="1"/>
    <x v="0"/>
    <x v="2"/>
  </r>
  <r>
    <x v="180"/>
    <n v="95"/>
    <n v="54"/>
    <n v="68"/>
    <n v="85.93"/>
    <x v="1"/>
    <x v="3"/>
    <x v="1"/>
    <x v="1"/>
  </r>
  <r>
    <x v="181"/>
    <n v="88"/>
    <n v="89"/>
    <n v="55"/>
    <n v="94.34"/>
    <x v="0"/>
    <x v="3"/>
    <x v="0"/>
    <x v="2"/>
  </r>
  <r>
    <x v="182"/>
    <n v="72"/>
    <n v="40"/>
    <n v="82"/>
    <n v="94.1"/>
    <x v="0"/>
    <x v="3"/>
    <x v="1"/>
    <x v="0"/>
  </r>
  <r>
    <x v="183"/>
    <n v="97"/>
    <n v="72"/>
    <n v="92"/>
    <n v="98.25"/>
    <x v="0"/>
    <x v="1"/>
    <x v="1"/>
    <x v="2"/>
  </r>
  <r>
    <x v="184"/>
    <n v="80"/>
    <n v="42"/>
    <n v="85"/>
    <n v="87.92"/>
    <x v="1"/>
    <x v="1"/>
    <x v="2"/>
    <x v="3"/>
  </r>
  <r>
    <x v="185"/>
    <n v="64"/>
    <n v="78"/>
    <n v="44"/>
    <n v="92.22"/>
    <x v="1"/>
    <x v="1"/>
    <x v="1"/>
    <x v="1"/>
  </r>
  <r>
    <x v="186"/>
    <n v="92"/>
    <n v="77"/>
    <n v="76"/>
    <n v="89.33"/>
    <x v="0"/>
    <x v="1"/>
    <x v="1"/>
    <x v="1"/>
  </r>
  <r>
    <x v="187"/>
    <n v="98"/>
    <n v="87"/>
    <n v="79"/>
    <n v="84.21"/>
    <x v="1"/>
    <x v="3"/>
    <x v="0"/>
    <x v="3"/>
  </r>
  <r>
    <x v="188"/>
    <n v="98"/>
    <n v="54"/>
    <n v="79"/>
    <n v="88.69"/>
    <x v="1"/>
    <x v="3"/>
    <x v="2"/>
    <x v="2"/>
  </r>
  <r>
    <x v="189"/>
    <n v="85"/>
    <n v="100"/>
    <n v="81"/>
    <n v="88.63"/>
    <x v="1"/>
    <x v="3"/>
    <x v="1"/>
    <x v="1"/>
  </r>
  <r>
    <x v="190"/>
    <n v="53"/>
    <n v="81"/>
    <n v="99"/>
    <n v="61.64"/>
    <x v="1"/>
    <x v="0"/>
    <x v="2"/>
    <x v="2"/>
  </r>
  <r>
    <x v="191"/>
    <n v="48"/>
    <n v="57"/>
    <n v="49"/>
    <n v="80.64"/>
    <x v="0"/>
    <x v="2"/>
    <x v="0"/>
    <x v="3"/>
  </r>
  <r>
    <x v="192"/>
    <n v="54"/>
    <n v="77"/>
    <n v="54"/>
    <n v="91.71"/>
    <x v="0"/>
    <x v="1"/>
    <x v="2"/>
    <x v="1"/>
  </r>
  <r>
    <x v="193"/>
    <n v="46"/>
    <n v="70"/>
    <n v="60"/>
    <n v="69.72"/>
    <x v="1"/>
    <x v="3"/>
    <x v="0"/>
    <x v="3"/>
  </r>
  <r>
    <x v="194"/>
    <n v="41"/>
    <n v="59"/>
    <n v="73"/>
    <n v="78.61"/>
    <x v="1"/>
    <x v="0"/>
    <x v="2"/>
    <x v="2"/>
  </r>
  <r>
    <x v="195"/>
    <n v="70"/>
    <n v="98"/>
    <n v="61"/>
    <n v="77.400000000000006"/>
    <x v="0"/>
    <x v="2"/>
    <x v="0"/>
    <x v="2"/>
  </r>
  <r>
    <x v="196"/>
    <n v="46"/>
    <n v="46"/>
    <n v="61"/>
    <n v="76.11"/>
    <x v="1"/>
    <x v="2"/>
    <x v="0"/>
    <x v="2"/>
  </r>
  <r>
    <x v="197"/>
    <n v="80"/>
    <n v="76"/>
    <n v="48"/>
    <n v="64.87"/>
    <x v="1"/>
    <x v="1"/>
    <x v="2"/>
    <x v="0"/>
  </r>
  <r>
    <x v="198"/>
    <n v="95"/>
    <n v="66"/>
    <n v="65"/>
    <n v="81.03"/>
    <x v="1"/>
    <x v="2"/>
    <x v="2"/>
    <x v="3"/>
  </r>
  <r>
    <x v="199"/>
    <n v="50"/>
    <n v="47"/>
    <n v="52"/>
    <n v="77.849999999999994"/>
    <x v="0"/>
    <x v="3"/>
    <x v="0"/>
    <x v="2"/>
  </r>
  <r>
    <x v="200"/>
    <n v="52"/>
    <n v="53"/>
    <n v="93"/>
    <n v="86.54"/>
    <x v="1"/>
    <x v="1"/>
    <x v="0"/>
    <x v="2"/>
  </r>
  <r>
    <x v="201"/>
    <n v="52"/>
    <n v="89"/>
    <n v="57"/>
    <n v="81.98"/>
    <x v="1"/>
    <x v="2"/>
    <x v="0"/>
    <x v="0"/>
  </r>
  <r>
    <x v="202"/>
    <n v="65"/>
    <n v="54"/>
    <n v="40"/>
    <n v="61.1"/>
    <x v="1"/>
    <x v="2"/>
    <x v="0"/>
    <x v="0"/>
  </r>
  <r>
    <x v="203"/>
    <n v="82"/>
    <n v="46"/>
    <n v="62"/>
    <n v="61.28"/>
    <x v="0"/>
    <x v="0"/>
    <x v="1"/>
    <x v="3"/>
  </r>
  <r>
    <x v="204"/>
    <n v="99"/>
    <n v="72"/>
    <n v="72"/>
    <n v="88.05"/>
    <x v="0"/>
    <x v="3"/>
    <x v="2"/>
    <x v="3"/>
  </r>
  <r>
    <x v="205"/>
    <n v="89"/>
    <n v="91"/>
    <n v="86"/>
    <n v="88.3"/>
    <x v="0"/>
    <x v="0"/>
    <x v="0"/>
    <x v="2"/>
  </r>
  <r>
    <x v="206"/>
    <n v="47"/>
    <n v="73"/>
    <n v="70"/>
    <n v="98.4"/>
    <x v="0"/>
    <x v="0"/>
    <x v="1"/>
    <x v="3"/>
  </r>
  <r>
    <x v="207"/>
    <n v="53"/>
    <n v="43"/>
    <n v="97"/>
    <n v="95.07"/>
    <x v="0"/>
    <x v="1"/>
    <x v="0"/>
    <x v="0"/>
  </r>
  <r>
    <x v="208"/>
    <n v="84"/>
    <n v="40"/>
    <n v="60"/>
    <n v="78.72"/>
    <x v="0"/>
    <x v="1"/>
    <x v="0"/>
    <x v="1"/>
  </r>
  <r>
    <x v="209"/>
    <n v="99"/>
    <n v="80"/>
    <n v="62"/>
    <n v="85.04"/>
    <x v="1"/>
    <x v="0"/>
    <x v="1"/>
    <x v="2"/>
  </r>
  <r>
    <x v="210"/>
    <n v="41"/>
    <n v="53"/>
    <n v="55"/>
    <n v="78.290000000000006"/>
    <x v="1"/>
    <x v="3"/>
    <x v="0"/>
    <x v="0"/>
  </r>
  <r>
    <x v="211"/>
    <n v="95"/>
    <n v="70"/>
    <n v="100"/>
    <n v="68.92"/>
    <x v="0"/>
    <x v="0"/>
    <x v="1"/>
    <x v="0"/>
  </r>
  <r>
    <x v="212"/>
    <n v="81"/>
    <n v="77"/>
    <n v="66"/>
    <n v="75.069999999999993"/>
    <x v="0"/>
    <x v="1"/>
    <x v="1"/>
    <x v="2"/>
  </r>
  <r>
    <x v="213"/>
    <n v="54"/>
    <n v="89"/>
    <n v="76"/>
    <n v="64.16"/>
    <x v="0"/>
    <x v="1"/>
    <x v="0"/>
    <x v="3"/>
  </r>
  <r>
    <x v="214"/>
    <n v="96"/>
    <n v="92"/>
    <n v="77"/>
    <n v="86.66"/>
    <x v="1"/>
    <x v="2"/>
    <x v="1"/>
    <x v="2"/>
  </r>
  <r>
    <x v="215"/>
    <n v="63"/>
    <n v="59"/>
    <n v="91"/>
    <n v="67.680000000000007"/>
    <x v="0"/>
    <x v="1"/>
    <x v="1"/>
    <x v="0"/>
  </r>
  <r>
    <x v="216"/>
    <n v="73"/>
    <n v="42"/>
    <n v="53"/>
    <n v="79.02"/>
    <x v="0"/>
    <x v="1"/>
    <x v="0"/>
    <x v="3"/>
  </r>
  <r>
    <x v="217"/>
    <n v="43"/>
    <n v="74"/>
    <n v="76"/>
    <n v="98.7"/>
    <x v="0"/>
    <x v="2"/>
    <x v="0"/>
    <x v="0"/>
  </r>
  <r>
    <x v="218"/>
    <n v="57"/>
    <n v="85"/>
    <n v="86"/>
    <n v="61.27"/>
    <x v="0"/>
    <x v="2"/>
    <x v="0"/>
    <x v="2"/>
  </r>
  <r>
    <x v="219"/>
    <n v="64"/>
    <n v="72"/>
    <n v="46"/>
    <n v="66.069999999999993"/>
    <x v="0"/>
    <x v="3"/>
    <x v="1"/>
    <x v="2"/>
  </r>
  <r>
    <x v="220"/>
    <n v="86"/>
    <n v="54"/>
    <n v="51"/>
    <n v="71.94"/>
    <x v="0"/>
    <x v="3"/>
    <x v="2"/>
    <x v="3"/>
  </r>
  <r>
    <x v="221"/>
    <n v="63"/>
    <n v="42"/>
    <n v="67"/>
    <n v="97.67"/>
    <x v="1"/>
    <x v="1"/>
    <x v="1"/>
    <x v="3"/>
  </r>
  <r>
    <x v="222"/>
    <n v="45"/>
    <n v="67"/>
    <n v="42"/>
    <n v="96.35"/>
    <x v="1"/>
    <x v="3"/>
    <x v="1"/>
    <x v="0"/>
  </r>
  <r>
    <x v="223"/>
    <n v="73"/>
    <n v="66"/>
    <n v="61"/>
    <n v="66.48"/>
    <x v="1"/>
    <x v="0"/>
    <x v="1"/>
    <x v="1"/>
  </r>
  <r>
    <x v="224"/>
    <n v="90"/>
    <n v="86"/>
    <n v="90"/>
    <n v="99.24"/>
    <x v="1"/>
    <x v="0"/>
    <x v="1"/>
    <x v="0"/>
  </r>
  <r>
    <x v="225"/>
    <n v="77"/>
    <n v="86"/>
    <n v="60"/>
    <n v="90.03"/>
    <x v="1"/>
    <x v="0"/>
    <x v="0"/>
    <x v="3"/>
  </r>
  <r>
    <x v="226"/>
    <n v="42"/>
    <n v="72"/>
    <n v="68"/>
    <n v="81.599999999999994"/>
    <x v="0"/>
    <x v="0"/>
    <x v="1"/>
    <x v="2"/>
  </r>
  <r>
    <x v="227"/>
    <n v="58"/>
    <n v="58"/>
    <n v="59"/>
    <n v="97.27"/>
    <x v="1"/>
    <x v="0"/>
    <x v="1"/>
    <x v="3"/>
  </r>
  <r>
    <x v="228"/>
    <n v="86"/>
    <n v="95"/>
    <n v="42"/>
    <n v="95.22"/>
    <x v="0"/>
    <x v="2"/>
    <x v="2"/>
    <x v="1"/>
  </r>
  <r>
    <x v="229"/>
    <n v="85"/>
    <n v="97"/>
    <n v="66"/>
    <n v="75.650000000000006"/>
    <x v="0"/>
    <x v="3"/>
    <x v="1"/>
    <x v="1"/>
  </r>
  <r>
    <x v="230"/>
    <n v="97"/>
    <n v="72"/>
    <n v="60"/>
    <n v="86.25"/>
    <x v="0"/>
    <x v="0"/>
    <x v="1"/>
    <x v="0"/>
  </r>
  <r>
    <x v="231"/>
    <n v="75"/>
    <n v="70"/>
    <n v="80"/>
    <n v="85.9"/>
    <x v="0"/>
    <x v="2"/>
    <x v="0"/>
    <x v="3"/>
  </r>
  <r>
    <x v="232"/>
    <n v="58"/>
    <n v="43"/>
    <n v="72"/>
    <n v="73.08"/>
    <x v="0"/>
    <x v="2"/>
    <x v="2"/>
    <x v="2"/>
  </r>
  <r>
    <x v="233"/>
    <n v="67"/>
    <n v="71"/>
    <n v="69"/>
    <n v="67.180000000000007"/>
    <x v="0"/>
    <x v="1"/>
    <x v="2"/>
    <x v="1"/>
  </r>
  <r>
    <x v="234"/>
    <n v="86"/>
    <n v="81"/>
    <n v="87"/>
    <n v="78.67"/>
    <x v="0"/>
    <x v="1"/>
    <x v="1"/>
    <x v="0"/>
  </r>
  <r>
    <x v="235"/>
    <n v="94"/>
    <n v="67"/>
    <n v="78"/>
    <n v="70.53"/>
    <x v="1"/>
    <x v="3"/>
    <x v="2"/>
    <x v="3"/>
  </r>
  <r>
    <x v="236"/>
    <n v="95"/>
    <n v="95"/>
    <n v="80"/>
    <n v="74.2"/>
    <x v="1"/>
    <x v="1"/>
    <x v="2"/>
    <x v="2"/>
  </r>
  <r>
    <x v="237"/>
    <n v="49"/>
    <n v="55"/>
    <n v="98"/>
    <n v="98.17"/>
    <x v="0"/>
    <x v="1"/>
    <x v="2"/>
    <x v="2"/>
  </r>
  <r>
    <x v="238"/>
    <n v="57"/>
    <n v="88"/>
    <n v="48"/>
    <n v="78.45"/>
    <x v="1"/>
    <x v="3"/>
    <x v="1"/>
    <x v="2"/>
  </r>
  <r>
    <x v="239"/>
    <n v="43"/>
    <n v="82"/>
    <n v="87"/>
    <n v="87.4"/>
    <x v="0"/>
    <x v="2"/>
    <x v="2"/>
    <x v="0"/>
  </r>
  <r>
    <x v="240"/>
    <n v="51"/>
    <n v="67"/>
    <n v="77"/>
    <n v="73.45"/>
    <x v="1"/>
    <x v="0"/>
    <x v="2"/>
    <x v="2"/>
  </r>
  <r>
    <x v="241"/>
    <n v="66"/>
    <n v="54"/>
    <n v="62"/>
    <n v="99.83"/>
    <x v="0"/>
    <x v="1"/>
    <x v="2"/>
    <x v="3"/>
  </r>
  <r>
    <x v="242"/>
    <n v="68"/>
    <n v="87"/>
    <n v="93"/>
    <n v="86.35"/>
    <x v="1"/>
    <x v="3"/>
    <x v="0"/>
    <x v="3"/>
  </r>
  <r>
    <x v="243"/>
    <n v="96"/>
    <n v="61"/>
    <n v="62"/>
    <n v="67.84"/>
    <x v="1"/>
    <x v="2"/>
    <x v="0"/>
    <x v="3"/>
  </r>
  <r>
    <x v="244"/>
    <n v="51"/>
    <n v="70"/>
    <n v="40"/>
    <n v="63.93"/>
    <x v="1"/>
    <x v="0"/>
    <x v="1"/>
    <x v="1"/>
  </r>
  <r>
    <x v="245"/>
    <n v="50"/>
    <n v="99"/>
    <n v="60"/>
    <n v="97.73"/>
    <x v="0"/>
    <x v="1"/>
    <x v="0"/>
    <x v="0"/>
  </r>
  <r>
    <x v="246"/>
    <n v="43"/>
    <n v="60"/>
    <n v="71"/>
    <n v="97.79"/>
    <x v="0"/>
    <x v="0"/>
    <x v="1"/>
    <x v="0"/>
  </r>
  <r>
    <x v="247"/>
    <n v="85"/>
    <n v="71"/>
    <n v="84"/>
    <n v="84.85"/>
    <x v="1"/>
    <x v="1"/>
    <x v="0"/>
    <x v="0"/>
  </r>
  <r>
    <x v="248"/>
    <n v="98"/>
    <n v="46"/>
    <n v="65"/>
    <n v="60.68"/>
    <x v="1"/>
    <x v="3"/>
    <x v="1"/>
    <x v="0"/>
  </r>
  <r>
    <x v="249"/>
    <n v="98"/>
    <n v="72"/>
    <n v="72"/>
    <n v="69.02"/>
    <x v="1"/>
    <x v="2"/>
    <x v="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0">
  <r>
    <x v="0"/>
    <n v="85"/>
    <n v="99"/>
    <n v="47"/>
    <n v="68.430000000000007"/>
    <x v="0"/>
    <x v="0"/>
    <x v="0"/>
    <s v="Sports"/>
  </r>
  <r>
    <x v="1"/>
    <n v="42"/>
    <n v="63"/>
    <n v="53"/>
    <n v="76.849999999999994"/>
    <x v="1"/>
    <x v="0"/>
    <x v="1"/>
    <s v="Sports"/>
  </r>
  <r>
    <x v="2"/>
    <n v="68"/>
    <n v="65"/>
    <n v="96"/>
    <n v="68.72"/>
    <x v="0"/>
    <x v="1"/>
    <x v="2"/>
    <s v="Music"/>
  </r>
  <r>
    <x v="3"/>
    <n v="74"/>
    <n v="67"/>
    <n v="64"/>
    <n v="93.83"/>
    <x v="0"/>
    <x v="2"/>
    <x v="2"/>
    <s v="Sports"/>
  </r>
  <r>
    <x v="4"/>
    <n v="78"/>
    <n v="97"/>
    <n v="71"/>
    <n v="78.25"/>
    <x v="1"/>
    <x v="1"/>
    <x v="0"/>
    <s v="Sports"/>
  </r>
  <r>
    <x v="5"/>
    <n v="57"/>
    <n v="86"/>
    <n v="67"/>
    <n v="71.19"/>
    <x v="0"/>
    <x v="0"/>
    <x v="0"/>
    <s v="Art"/>
  </r>
  <r>
    <x v="6"/>
    <n v="59"/>
    <n v="99"/>
    <n v="41"/>
    <n v="97.32"/>
    <x v="0"/>
    <x v="2"/>
    <x v="1"/>
    <s v="Sports"/>
  </r>
  <r>
    <x v="7"/>
    <n v="82"/>
    <n v="43"/>
    <n v="56"/>
    <n v="72.569999999999993"/>
    <x v="0"/>
    <x v="0"/>
    <x v="1"/>
    <s v="Sports"/>
  </r>
  <r>
    <x v="8"/>
    <n v="99"/>
    <n v="75"/>
    <n v="66"/>
    <n v="96.39"/>
    <x v="1"/>
    <x v="0"/>
    <x v="0"/>
    <s v="Music"/>
  </r>
  <r>
    <x v="9"/>
    <n v="97"/>
    <n v="54"/>
    <n v="41"/>
    <n v="61.74"/>
    <x v="1"/>
    <x v="3"/>
    <x v="0"/>
    <s v="Music"/>
  </r>
  <r>
    <x v="10"/>
    <n v="62"/>
    <n v="61"/>
    <n v="47"/>
    <n v="88.28"/>
    <x v="0"/>
    <x v="2"/>
    <x v="0"/>
    <s v="Music"/>
  </r>
  <r>
    <x v="11"/>
    <n v="73"/>
    <n v="99"/>
    <n v="77"/>
    <n v="79.36"/>
    <x v="1"/>
    <x v="0"/>
    <x v="0"/>
    <s v="Sports"/>
  </r>
  <r>
    <x v="12"/>
    <n v="72"/>
    <n v="94"/>
    <n v="59"/>
    <n v="77.77"/>
    <x v="0"/>
    <x v="3"/>
    <x v="2"/>
    <s v="Art"/>
  </r>
  <r>
    <x v="13"/>
    <n v="89"/>
    <n v="88"/>
    <n v="88"/>
    <n v="61.45"/>
    <x v="0"/>
    <x v="3"/>
    <x v="1"/>
    <s v="None"/>
  </r>
  <r>
    <x v="14"/>
    <n v="87"/>
    <n v="96"/>
    <n v="76"/>
    <n v="61.63"/>
    <x v="1"/>
    <x v="3"/>
    <x v="1"/>
    <s v="Music"/>
  </r>
  <r>
    <x v="15"/>
    <n v="49"/>
    <n v="63"/>
    <n v="96"/>
    <n v="73.31"/>
    <x v="0"/>
    <x v="0"/>
    <x v="1"/>
    <s v="Art"/>
  </r>
  <r>
    <x v="16"/>
    <n v="72"/>
    <n v="63"/>
    <n v="60"/>
    <n v="97.88"/>
    <x v="1"/>
    <x v="3"/>
    <x v="1"/>
    <s v="Sports"/>
  </r>
  <r>
    <x v="17"/>
    <n v="86"/>
    <n v="76"/>
    <n v="65"/>
    <n v="84.71"/>
    <x v="0"/>
    <x v="3"/>
    <x v="1"/>
    <s v="Music"/>
  </r>
  <r>
    <x v="18"/>
    <n v="72"/>
    <n v="44"/>
    <n v="70"/>
    <n v="74.75"/>
    <x v="1"/>
    <x v="1"/>
    <x v="2"/>
    <s v="Art"/>
  </r>
  <r>
    <x v="19"/>
    <n v="87"/>
    <n v="45"/>
    <n v="59"/>
    <n v="84.48"/>
    <x v="0"/>
    <x v="0"/>
    <x v="2"/>
    <s v="None"/>
  </r>
  <r>
    <x v="20"/>
    <n v="65"/>
    <n v="88"/>
    <n v="45"/>
    <n v="68.25"/>
    <x v="0"/>
    <x v="0"/>
    <x v="0"/>
    <s v="Art"/>
  </r>
  <r>
    <x v="21"/>
    <n v="59"/>
    <n v="96"/>
    <n v="89"/>
    <n v="66.599999999999994"/>
    <x v="1"/>
    <x v="3"/>
    <x v="1"/>
    <s v="Sports"/>
  </r>
  <r>
    <x v="22"/>
    <n v="54"/>
    <n v="100"/>
    <n v="54"/>
    <n v="74.47"/>
    <x v="0"/>
    <x v="1"/>
    <x v="1"/>
    <s v="Music"/>
  </r>
  <r>
    <x v="23"/>
    <n v="76"/>
    <n v="49"/>
    <n v="96"/>
    <n v="94.53"/>
    <x v="1"/>
    <x v="3"/>
    <x v="2"/>
    <s v="Art"/>
  </r>
  <r>
    <x v="24"/>
    <n v="72"/>
    <n v="42"/>
    <n v="40"/>
    <n v="80.38"/>
    <x v="0"/>
    <x v="0"/>
    <x v="1"/>
    <s v="Art"/>
  </r>
  <r>
    <x v="25"/>
    <n v="56"/>
    <n v="77"/>
    <n v="65"/>
    <n v="71.88"/>
    <x v="1"/>
    <x v="1"/>
    <x v="0"/>
    <s v="Art"/>
  </r>
  <r>
    <x v="26"/>
    <n v="44"/>
    <n v="73"/>
    <n v="68"/>
    <n v="98.01"/>
    <x v="0"/>
    <x v="1"/>
    <x v="1"/>
    <s v="Music"/>
  </r>
  <r>
    <x v="27"/>
    <n v="89"/>
    <n v="45"/>
    <n v="41"/>
    <n v="92.64"/>
    <x v="1"/>
    <x v="3"/>
    <x v="1"/>
    <s v="Art"/>
  </r>
  <r>
    <x v="28"/>
    <n v="95"/>
    <n v="100"/>
    <n v="61"/>
    <n v="72.92"/>
    <x v="0"/>
    <x v="1"/>
    <x v="1"/>
    <s v="Sports"/>
  </r>
  <r>
    <x v="29"/>
    <n v="43"/>
    <n v="49"/>
    <n v="100"/>
    <n v="98.88"/>
    <x v="0"/>
    <x v="2"/>
    <x v="0"/>
    <s v="Sports"/>
  </r>
  <r>
    <x v="30"/>
    <n v="42"/>
    <n v="55"/>
    <n v="99"/>
    <n v="99.49"/>
    <x v="1"/>
    <x v="0"/>
    <x v="0"/>
    <s v="None"/>
  </r>
  <r>
    <x v="31"/>
    <n v="60"/>
    <n v="99"/>
    <n v="68"/>
    <n v="76.349999999999994"/>
    <x v="1"/>
    <x v="1"/>
    <x v="2"/>
    <s v="None"/>
  </r>
  <r>
    <x v="32"/>
    <n v="79"/>
    <n v="68"/>
    <n v="48"/>
    <n v="86.24"/>
    <x v="0"/>
    <x v="1"/>
    <x v="1"/>
    <s v="None"/>
  </r>
  <r>
    <x v="33"/>
    <n v="42"/>
    <n v="42"/>
    <n v="80"/>
    <n v="76.23"/>
    <x v="0"/>
    <x v="1"/>
    <x v="2"/>
    <s v="Music"/>
  </r>
  <r>
    <x v="34"/>
    <n v="60"/>
    <n v="50"/>
    <n v="60"/>
    <n v="70.290000000000006"/>
    <x v="1"/>
    <x v="2"/>
    <x v="0"/>
    <s v="Sports"/>
  </r>
  <r>
    <x v="35"/>
    <n v="87"/>
    <n v="76"/>
    <n v="94"/>
    <n v="63.31"/>
    <x v="0"/>
    <x v="3"/>
    <x v="0"/>
    <s v="Sports"/>
  </r>
  <r>
    <x v="36"/>
    <n v="96"/>
    <n v="43"/>
    <n v="96"/>
    <n v="70.540000000000006"/>
    <x v="0"/>
    <x v="3"/>
    <x v="1"/>
    <s v="None"/>
  </r>
  <r>
    <x v="37"/>
    <n v="88"/>
    <n v="88"/>
    <n v="71"/>
    <n v="70.86"/>
    <x v="1"/>
    <x v="0"/>
    <x v="2"/>
    <s v="None"/>
  </r>
  <r>
    <x v="38"/>
    <n v="47"/>
    <n v="43"/>
    <n v="71"/>
    <n v="75.95"/>
    <x v="0"/>
    <x v="0"/>
    <x v="0"/>
    <s v="Art"/>
  </r>
  <r>
    <x v="39"/>
    <n v="81"/>
    <n v="63"/>
    <n v="86"/>
    <n v="67.400000000000006"/>
    <x v="0"/>
    <x v="0"/>
    <x v="0"/>
    <s v="None"/>
  </r>
  <r>
    <x v="40"/>
    <n v="75"/>
    <n v="67"/>
    <n v="83"/>
    <n v="98.15"/>
    <x v="0"/>
    <x v="1"/>
    <x v="2"/>
    <s v="Music"/>
  </r>
  <r>
    <x v="41"/>
    <n v="100"/>
    <n v="95"/>
    <n v="79"/>
    <n v="64.12"/>
    <x v="1"/>
    <x v="0"/>
    <x v="2"/>
    <s v="None"/>
  </r>
  <r>
    <x v="42"/>
    <n v="68"/>
    <n v="74"/>
    <n v="65"/>
    <n v="85.01"/>
    <x v="1"/>
    <x v="1"/>
    <x v="0"/>
    <s v="Sports"/>
  </r>
  <r>
    <x v="43"/>
    <n v="92"/>
    <n v="77"/>
    <n v="87"/>
    <n v="77.67"/>
    <x v="1"/>
    <x v="0"/>
    <x v="1"/>
    <s v="Music"/>
  </r>
  <r>
    <x v="44"/>
    <n v="78"/>
    <n v="89"/>
    <n v="52"/>
    <n v="76.94"/>
    <x v="0"/>
    <x v="3"/>
    <x v="1"/>
    <s v="Art"/>
  </r>
  <r>
    <x v="45"/>
    <n v="73"/>
    <n v="63"/>
    <n v="42"/>
    <n v="74.88"/>
    <x v="1"/>
    <x v="3"/>
    <x v="1"/>
    <s v="Music"/>
  </r>
  <r>
    <x v="46"/>
    <n v="61"/>
    <n v="61"/>
    <n v="71"/>
    <n v="94.73"/>
    <x v="1"/>
    <x v="0"/>
    <x v="1"/>
    <s v="Art"/>
  </r>
  <r>
    <x v="47"/>
    <n v="94"/>
    <n v="65"/>
    <n v="72"/>
    <n v="71.22"/>
    <x v="0"/>
    <x v="0"/>
    <x v="2"/>
    <s v="Art"/>
  </r>
  <r>
    <x v="48"/>
    <n v="70"/>
    <n v="57"/>
    <n v="72"/>
    <n v="60.82"/>
    <x v="1"/>
    <x v="2"/>
    <x v="0"/>
    <s v="Sports"/>
  </r>
  <r>
    <x v="49"/>
    <n v="67"/>
    <n v="98"/>
    <n v="81"/>
    <n v="96.72"/>
    <x v="1"/>
    <x v="2"/>
    <x v="0"/>
    <s v="Music"/>
  </r>
  <r>
    <x v="50"/>
    <n v="74"/>
    <n v="42"/>
    <n v="81"/>
    <n v="94.58"/>
    <x v="0"/>
    <x v="0"/>
    <x v="1"/>
    <s v="Art"/>
  </r>
  <r>
    <x v="51"/>
    <n v="73"/>
    <n v="85"/>
    <n v="52"/>
    <n v="71.08"/>
    <x v="0"/>
    <x v="0"/>
    <x v="0"/>
    <s v="Music"/>
  </r>
  <r>
    <x v="52"/>
    <n v="52"/>
    <n v="50"/>
    <n v="82"/>
    <n v="80.94"/>
    <x v="0"/>
    <x v="0"/>
    <x v="2"/>
    <s v="Art"/>
  </r>
  <r>
    <x v="53"/>
    <n v="80"/>
    <n v="48"/>
    <n v="45"/>
    <n v="64.36"/>
    <x v="1"/>
    <x v="0"/>
    <x v="0"/>
    <s v="None"/>
  </r>
  <r>
    <x v="54"/>
    <n v="43"/>
    <n v="93"/>
    <n v="43"/>
    <n v="63.74"/>
    <x v="1"/>
    <x v="1"/>
    <x v="0"/>
    <s v="None"/>
  </r>
  <r>
    <x v="55"/>
    <n v="82"/>
    <n v="72"/>
    <n v="77"/>
    <n v="93.5"/>
    <x v="1"/>
    <x v="2"/>
    <x v="0"/>
    <s v="Music"/>
  </r>
  <r>
    <x v="56"/>
    <n v="45"/>
    <n v="65"/>
    <n v="45"/>
    <n v="76.41"/>
    <x v="1"/>
    <x v="0"/>
    <x v="1"/>
    <s v="Music"/>
  </r>
  <r>
    <x v="57"/>
    <n v="40"/>
    <n v="75"/>
    <n v="90"/>
    <n v="86.47"/>
    <x v="1"/>
    <x v="3"/>
    <x v="1"/>
    <s v="Art"/>
  </r>
  <r>
    <x v="58"/>
    <n v="51"/>
    <n v="43"/>
    <n v="42"/>
    <n v="97.73"/>
    <x v="1"/>
    <x v="2"/>
    <x v="0"/>
    <s v="Art"/>
  </r>
  <r>
    <x v="59"/>
    <n v="74"/>
    <n v="91"/>
    <n v="66"/>
    <n v="69.81"/>
    <x v="0"/>
    <x v="1"/>
    <x v="2"/>
    <s v="Art"/>
  </r>
  <r>
    <x v="60"/>
    <n v="98"/>
    <n v="41"/>
    <n v="79"/>
    <n v="60.53"/>
    <x v="0"/>
    <x v="3"/>
    <x v="0"/>
    <s v="Sports"/>
  </r>
  <r>
    <x v="61"/>
    <n v="50"/>
    <n v="47"/>
    <n v="59"/>
    <n v="60.97"/>
    <x v="0"/>
    <x v="2"/>
    <x v="2"/>
    <s v="Sports"/>
  </r>
  <r>
    <x v="62"/>
    <n v="62"/>
    <n v="46"/>
    <n v="57"/>
    <n v="88.38"/>
    <x v="0"/>
    <x v="0"/>
    <x v="2"/>
    <s v="Music"/>
  </r>
  <r>
    <x v="63"/>
    <n v="53"/>
    <n v="75"/>
    <n v="59"/>
    <n v="96.98"/>
    <x v="1"/>
    <x v="0"/>
    <x v="2"/>
    <s v="Music"/>
  </r>
  <r>
    <x v="64"/>
    <n v="58"/>
    <n v="73"/>
    <n v="69"/>
    <n v="78.69"/>
    <x v="0"/>
    <x v="1"/>
    <x v="2"/>
    <s v="None"/>
  </r>
  <r>
    <x v="65"/>
    <n v="76"/>
    <n v="79"/>
    <n v="49"/>
    <n v="75"/>
    <x v="0"/>
    <x v="0"/>
    <x v="1"/>
    <s v="None"/>
  </r>
  <r>
    <x v="66"/>
    <n v="55"/>
    <n v="58"/>
    <n v="91"/>
    <n v="81.709999999999994"/>
    <x v="0"/>
    <x v="0"/>
    <x v="0"/>
    <s v="Music"/>
  </r>
  <r>
    <x v="67"/>
    <n v="83"/>
    <n v="68"/>
    <n v="62"/>
    <n v="94.36"/>
    <x v="1"/>
    <x v="0"/>
    <x v="2"/>
    <s v="Art"/>
  </r>
  <r>
    <x v="68"/>
    <n v="67"/>
    <n v="78"/>
    <n v="86"/>
    <n v="86.09"/>
    <x v="0"/>
    <x v="3"/>
    <x v="2"/>
    <s v="Sports"/>
  </r>
  <r>
    <x v="69"/>
    <n v="84"/>
    <n v="45"/>
    <n v="42"/>
    <n v="69.319999999999993"/>
    <x v="1"/>
    <x v="0"/>
    <x v="0"/>
    <s v="Music"/>
  </r>
  <r>
    <x v="70"/>
    <n v="70"/>
    <n v="49"/>
    <n v="91"/>
    <n v="90.98"/>
    <x v="0"/>
    <x v="3"/>
    <x v="2"/>
    <s v="Music"/>
  </r>
  <r>
    <x v="71"/>
    <n v="92"/>
    <n v="80"/>
    <n v="89"/>
    <n v="65.38"/>
    <x v="0"/>
    <x v="3"/>
    <x v="1"/>
    <s v="None"/>
  </r>
  <r>
    <x v="72"/>
    <n v="46"/>
    <n v="81"/>
    <n v="97"/>
    <n v="66.62"/>
    <x v="0"/>
    <x v="0"/>
    <x v="2"/>
    <s v="Music"/>
  </r>
  <r>
    <x v="73"/>
    <n v="85"/>
    <n v="44"/>
    <n v="48"/>
    <n v="84.51"/>
    <x v="1"/>
    <x v="2"/>
    <x v="1"/>
    <s v="None"/>
  </r>
  <r>
    <x v="74"/>
    <n v="91"/>
    <n v="98"/>
    <n v="88"/>
    <n v="69.55"/>
    <x v="0"/>
    <x v="1"/>
    <x v="1"/>
    <s v="Sports"/>
  </r>
  <r>
    <x v="75"/>
    <n v="66"/>
    <n v="63"/>
    <n v="58"/>
    <n v="88.19"/>
    <x v="1"/>
    <x v="3"/>
    <x v="2"/>
    <s v="Music"/>
  </r>
  <r>
    <x v="76"/>
    <n v="56"/>
    <n v="80"/>
    <n v="75"/>
    <n v="73.98"/>
    <x v="0"/>
    <x v="2"/>
    <x v="0"/>
    <s v="Sports"/>
  </r>
  <r>
    <x v="77"/>
    <n v="46"/>
    <n v="61"/>
    <n v="79"/>
    <n v="71.099999999999994"/>
    <x v="0"/>
    <x v="0"/>
    <x v="1"/>
    <s v="None"/>
  </r>
  <r>
    <x v="78"/>
    <n v="54"/>
    <n v="65"/>
    <n v="66"/>
    <n v="99.96"/>
    <x v="0"/>
    <x v="1"/>
    <x v="2"/>
    <s v="Art"/>
  </r>
  <r>
    <x v="79"/>
    <n v="92"/>
    <n v="90"/>
    <n v="81"/>
    <n v="61.62"/>
    <x v="0"/>
    <x v="1"/>
    <x v="0"/>
    <s v="Art"/>
  </r>
  <r>
    <x v="80"/>
    <n v="79"/>
    <n v="76"/>
    <n v="67"/>
    <n v="85.83"/>
    <x v="0"/>
    <x v="2"/>
    <x v="1"/>
    <s v="Sports"/>
  </r>
  <r>
    <x v="81"/>
    <n v="51"/>
    <n v="84"/>
    <n v="82"/>
    <n v="61.55"/>
    <x v="1"/>
    <x v="3"/>
    <x v="2"/>
    <s v="Art"/>
  </r>
  <r>
    <x v="82"/>
    <n v="94"/>
    <n v="68"/>
    <n v="90"/>
    <n v="90.41"/>
    <x v="1"/>
    <x v="3"/>
    <x v="2"/>
    <s v="Sports"/>
  </r>
  <r>
    <x v="83"/>
    <n v="47"/>
    <n v="75"/>
    <n v="47"/>
    <n v="69.2"/>
    <x v="0"/>
    <x v="1"/>
    <x v="2"/>
    <s v="Art"/>
  </r>
  <r>
    <x v="84"/>
    <n v="41"/>
    <n v="59"/>
    <n v="81"/>
    <n v="63.59"/>
    <x v="1"/>
    <x v="2"/>
    <x v="1"/>
    <s v="Music"/>
  </r>
  <r>
    <x v="85"/>
    <n v="83"/>
    <n v="57"/>
    <n v="87"/>
    <n v="85.94"/>
    <x v="1"/>
    <x v="0"/>
    <x v="2"/>
    <s v="None"/>
  </r>
  <r>
    <x v="86"/>
    <n v="98"/>
    <n v="79"/>
    <n v="47"/>
    <n v="89.3"/>
    <x v="1"/>
    <x v="2"/>
    <x v="2"/>
    <s v="Art"/>
  </r>
  <r>
    <x v="87"/>
    <n v="77"/>
    <n v="84"/>
    <n v="57"/>
    <n v="87.12"/>
    <x v="0"/>
    <x v="2"/>
    <x v="0"/>
    <s v="Sports"/>
  </r>
  <r>
    <x v="88"/>
    <n v="95"/>
    <n v="80"/>
    <n v="98"/>
    <n v="62.08"/>
    <x v="1"/>
    <x v="3"/>
    <x v="1"/>
    <s v="None"/>
  </r>
  <r>
    <x v="89"/>
    <n v="65"/>
    <n v="93"/>
    <n v="60"/>
    <n v="71.77"/>
    <x v="1"/>
    <x v="2"/>
    <x v="2"/>
    <s v="Music"/>
  </r>
  <r>
    <x v="90"/>
    <n v="90"/>
    <n v="95"/>
    <n v="85"/>
    <n v="78.040000000000006"/>
    <x v="1"/>
    <x v="0"/>
    <x v="1"/>
    <s v="Music"/>
  </r>
  <r>
    <x v="91"/>
    <n v="60"/>
    <n v="95"/>
    <n v="52"/>
    <n v="71.48"/>
    <x v="0"/>
    <x v="2"/>
    <x v="2"/>
    <s v="Sports"/>
  </r>
  <r>
    <x v="92"/>
    <n v="96"/>
    <n v="54"/>
    <n v="66"/>
    <n v="92.42"/>
    <x v="1"/>
    <x v="3"/>
    <x v="2"/>
    <s v="Art"/>
  </r>
  <r>
    <x v="93"/>
    <n v="89"/>
    <n v="54"/>
    <n v="86"/>
    <n v="65.239999999999995"/>
    <x v="1"/>
    <x v="3"/>
    <x v="0"/>
    <s v="Art"/>
  </r>
  <r>
    <x v="94"/>
    <n v="52"/>
    <n v="63"/>
    <n v="99"/>
    <n v="84.49"/>
    <x v="1"/>
    <x v="3"/>
    <x v="2"/>
    <s v="None"/>
  </r>
  <r>
    <x v="95"/>
    <n v="58"/>
    <n v="68"/>
    <n v="79"/>
    <n v="99.53"/>
    <x v="0"/>
    <x v="1"/>
    <x v="2"/>
    <s v="Sports"/>
  </r>
  <r>
    <x v="96"/>
    <n v="57"/>
    <n v="93"/>
    <n v="92"/>
    <n v="96.1"/>
    <x v="0"/>
    <x v="2"/>
    <x v="0"/>
    <s v="Sports"/>
  </r>
  <r>
    <x v="97"/>
    <n v="41"/>
    <n v="56"/>
    <n v="55"/>
    <n v="68.89"/>
    <x v="0"/>
    <x v="1"/>
    <x v="2"/>
    <s v="None"/>
  </r>
  <r>
    <x v="98"/>
    <n v="91"/>
    <n v="88"/>
    <n v="79"/>
    <n v="60"/>
    <x v="1"/>
    <x v="1"/>
    <x v="2"/>
    <s v="None"/>
  </r>
  <r>
    <x v="99"/>
    <n v="84"/>
    <n v="86"/>
    <n v="48"/>
    <n v="99.22"/>
    <x v="0"/>
    <x v="0"/>
    <x v="0"/>
    <s v="Art"/>
  </r>
  <r>
    <x v="100"/>
    <n v="93"/>
    <n v="64"/>
    <n v="66"/>
    <n v="95.31"/>
    <x v="0"/>
    <x v="2"/>
    <x v="2"/>
    <s v="None"/>
  </r>
  <r>
    <x v="101"/>
    <n v="81"/>
    <n v="55"/>
    <n v="56"/>
    <n v="96.78"/>
    <x v="1"/>
    <x v="2"/>
    <x v="0"/>
    <s v="Sports"/>
  </r>
  <r>
    <x v="102"/>
    <n v="88"/>
    <n v="89"/>
    <n v="42"/>
    <n v="76.62"/>
    <x v="0"/>
    <x v="1"/>
    <x v="1"/>
    <s v="Music"/>
  </r>
  <r>
    <x v="103"/>
    <n v="96"/>
    <n v="56"/>
    <n v="95"/>
    <n v="89.78"/>
    <x v="0"/>
    <x v="1"/>
    <x v="0"/>
    <s v="Music"/>
  </r>
  <r>
    <x v="104"/>
    <n v="67"/>
    <n v="86"/>
    <n v="92"/>
    <n v="68.510000000000005"/>
    <x v="0"/>
    <x v="1"/>
    <x v="0"/>
    <s v="Music"/>
  </r>
  <r>
    <x v="105"/>
    <n v="89"/>
    <n v="86"/>
    <n v="43"/>
    <n v="75.69"/>
    <x v="1"/>
    <x v="3"/>
    <x v="2"/>
    <s v="Music"/>
  </r>
  <r>
    <x v="106"/>
    <n v="62"/>
    <n v="60"/>
    <n v="79"/>
    <n v="94.06"/>
    <x v="1"/>
    <x v="2"/>
    <x v="1"/>
    <s v="Sports"/>
  </r>
  <r>
    <x v="107"/>
    <n v="43"/>
    <n v="83"/>
    <n v="91"/>
    <n v="65.099999999999994"/>
    <x v="1"/>
    <x v="0"/>
    <x v="2"/>
    <s v="Music"/>
  </r>
  <r>
    <x v="108"/>
    <n v="43"/>
    <n v="87"/>
    <n v="95"/>
    <n v="95.75"/>
    <x v="0"/>
    <x v="2"/>
    <x v="2"/>
    <s v="Sports"/>
  </r>
  <r>
    <x v="109"/>
    <n v="51"/>
    <n v="66"/>
    <n v="40"/>
    <n v="79.86"/>
    <x v="1"/>
    <x v="1"/>
    <x v="2"/>
    <s v="Art"/>
  </r>
  <r>
    <x v="110"/>
    <n v="61"/>
    <n v="93"/>
    <n v="53"/>
    <n v="77.040000000000006"/>
    <x v="0"/>
    <x v="0"/>
    <x v="2"/>
    <s v="Music"/>
  </r>
  <r>
    <x v="111"/>
    <n v="65"/>
    <n v="44"/>
    <n v="47"/>
    <n v="72.23"/>
    <x v="1"/>
    <x v="3"/>
    <x v="2"/>
    <s v="Sports"/>
  </r>
  <r>
    <x v="112"/>
    <n v="79"/>
    <n v="61"/>
    <n v="46"/>
    <n v="96.67"/>
    <x v="1"/>
    <x v="0"/>
    <x v="1"/>
    <s v="Art"/>
  </r>
  <r>
    <x v="113"/>
    <n v="81"/>
    <n v="72"/>
    <n v="69"/>
    <n v="80.7"/>
    <x v="0"/>
    <x v="3"/>
    <x v="0"/>
    <s v="Art"/>
  </r>
  <r>
    <x v="114"/>
    <n v="74"/>
    <n v="79"/>
    <n v="64"/>
    <n v="92.16"/>
    <x v="1"/>
    <x v="2"/>
    <x v="1"/>
    <s v="Art"/>
  </r>
  <r>
    <x v="115"/>
    <n v="43"/>
    <n v="41"/>
    <n v="78"/>
    <n v="94.31"/>
    <x v="1"/>
    <x v="2"/>
    <x v="0"/>
    <s v="Music"/>
  </r>
  <r>
    <x v="116"/>
    <n v="51"/>
    <n v="74"/>
    <n v="55"/>
    <n v="96.9"/>
    <x v="1"/>
    <x v="1"/>
    <x v="0"/>
    <s v="None"/>
  </r>
  <r>
    <x v="117"/>
    <n v="43"/>
    <n v="82"/>
    <n v="50"/>
    <n v="72.14"/>
    <x v="0"/>
    <x v="0"/>
    <x v="1"/>
    <s v="Sports"/>
  </r>
  <r>
    <x v="118"/>
    <n v="91"/>
    <n v="58"/>
    <n v="64"/>
    <n v="73.59"/>
    <x v="1"/>
    <x v="0"/>
    <x v="2"/>
    <s v="Music"/>
  </r>
  <r>
    <x v="119"/>
    <n v="96"/>
    <n v="79"/>
    <n v="72"/>
    <n v="83.8"/>
    <x v="0"/>
    <x v="2"/>
    <x v="1"/>
    <s v="Sports"/>
  </r>
  <r>
    <x v="120"/>
    <n v="70"/>
    <n v="66"/>
    <n v="100"/>
    <n v="77.650000000000006"/>
    <x v="1"/>
    <x v="0"/>
    <x v="2"/>
    <s v="Sports"/>
  </r>
  <r>
    <x v="121"/>
    <n v="46"/>
    <n v="79"/>
    <n v="93"/>
    <n v="97.31"/>
    <x v="1"/>
    <x v="2"/>
    <x v="2"/>
    <s v="None"/>
  </r>
  <r>
    <x v="122"/>
    <n v="49"/>
    <n v="75"/>
    <n v="91"/>
    <n v="75.900000000000006"/>
    <x v="1"/>
    <x v="0"/>
    <x v="0"/>
    <s v="Music"/>
  </r>
  <r>
    <x v="123"/>
    <n v="63"/>
    <n v="98"/>
    <n v="90"/>
    <n v="79.11"/>
    <x v="1"/>
    <x v="3"/>
    <x v="1"/>
    <s v="None"/>
  </r>
  <r>
    <x v="124"/>
    <n v="54"/>
    <n v="78"/>
    <n v="87"/>
    <n v="84.69"/>
    <x v="0"/>
    <x v="2"/>
    <x v="2"/>
    <s v="Art"/>
  </r>
  <r>
    <x v="125"/>
    <n v="78"/>
    <n v="41"/>
    <n v="60"/>
    <n v="76.19"/>
    <x v="0"/>
    <x v="1"/>
    <x v="2"/>
    <s v="Music"/>
  </r>
  <r>
    <x v="126"/>
    <n v="59"/>
    <n v="80"/>
    <n v="91"/>
    <n v="99.7"/>
    <x v="1"/>
    <x v="3"/>
    <x v="1"/>
    <s v="Art"/>
  </r>
  <r>
    <x v="127"/>
    <n v="97"/>
    <n v="92"/>
    <n v="91"/>
    <n v="63.95"/>
    <x v="0"/>
    <x v="3"/>
    <x v="2"/>
    <s v="None"/>
  </r>
  <r>
    <x v="128"/>
    <n v="46"/>
    <n v="57"/>
    <n v="49"/>
    <n v="68.819999999999993"/>
    <x v="0"/>
    <x v="1"/>
    <x v="0"/>
    <s v="Art"/>
  </r>
  <r>
    <x v="129"/>
    <n v="52"/>
    <n v="85"/>
    <n v="95"/>
    <n v="72.91"/>
    <x v="1"/>
    <x v="0"/>
    <x v="0"/>
    <s v="Sports"/>
  </r>
  <r>
    <x v="130"/>
    <n v="94"/>
    <n v="62"/>
    <n v="89"/>
    <n v="65.91"/>
    <x v="0"/>
    <x v="3"/>
    <x v="1"/>
    <s v="None"/>
  </r>
  <r>
    <x v="131"/>
    <n v="67"/>
    <n v="93"/>
    <n v="48"/>
    <n v="71.37"/>
    <x v="1"/>
    <x v="2"/>
    <x v="1"/>
    <s v="Art"/>
  </r>
  <r>
    <x v="132"/>
    <n v="78"/>
    <n v="65"/>
    <n v="40"/>
    <n v="91.17"/>
    <x v="0"/>
    <x v="2"/>
    <x v="1"/>
    <s v="Art"/>
  </r>
  <r>
    <x v="133"/>
    <n v="57"/>
    <n v="50"/>
    <n v="73"/>
    <n v="80.92"/>
    <x v="0"/>
    <x v="1"/>
    <x v="1"/>
    <s v="Art"/>
  </r>
  <r>
    <x v="134"/>
    <n v="86"/>
    <n v="87"/>
    <n v="70"/>
    <n v="61.36"/>
    <x v="1"/>
    <x v="2"/>
    <x v="0"/>
    <s v="Art"/>
  </r>
  <r>
    <x v="135"/>
    <n v="50"/>
    <n v="40"/>
    <n v="60"/>
    <n v="99.3"/>
    <x v="0"/>
    <x v="0"/>
    <x v="0"/>
    <s v="Music"/>
  </r>
  <r>
    <x v="136"/>
    <n v="75"/>
    <n v="75"/>
    <n v="63"/>
    <n v="84.64"/>
    <x v="0"/>
    <x v="3"/>
    <x v="0"/>
    <s v="Art"/>
  </r>
  <r>
    <x v="137"/>
    <n v="92"/>
    <n v="89"/>
    <n v="58"/>
    <n v="62.36"/>
    <x v="0"/>
    <x v="1"/>
    <x v="2"/>
    <s v="Art"/>
  </r>
  <r>
    <x v="138"/>
    <n v="75"/>
    <n v="59"/>
    <n v="100"/>
    <n v="86.45"/>
    <x v="1"/>
    <x v="1"/>
    <x v="2"/>
    <s v="Music"/>
  </r>
  <r>
    <x v="139"/>
    <n v="41"/>
    <n v="70"/>
    <n v="87"/>
    <n v="75.13"/>
    <x v="1"/>
    <x v="1"/>
    <x v="2"/>
    <s v="Art"/>
  </r>
  <r>
    <x v="140"/>
    <n v="87"/>
    <n v="47"/>
    <n v="99"/>
    <n v="65.430000000000007"/>
    <x v="0"/>
    <x v="0"/>
    <x v="0"/>
    <s v="Art"/>
  </r>
  <r>
    <x v="141"/>
    <n v="85"/>
    <n v="79"/>
    <n v="99"/>
    <n v="82.55"/>
    <x v="1"/>
    <x v="2"/>
    <x v="1"/>
    <s v="Art"/>
  </r>
  <r>
    <x v="142"/>
    <n v="56"/>
    <n v="63"/>
    <n v="60"/>
    <n v="89.08"/>
    <x v="0"/>
    <x v="2"/>
    <x v="1"/>
    <s v="Music"/>
  </r>
  <r>
    <x v="143"/>
    <n v="45"/>
    <n v="93"/>
    <n v="64"/>
    <n v="86.85"/>
    <x v="1"/>
    <x v="0"/>
    <x v="2"/>
    <s v="Sports"/>
  </r>
  <r>
    <x v="144"/>
    <n v="80"/>
    <n v="59"/>
    <n v="59"/>
    <n v="69.900000000000006"/>
    <x v="0"/>
    <x v="2"/>
    <x v="2"/>
    <s v="Sports"/>
  </r>
  <r>
    <x v="145"/>
    <n v="85"/>
    <n v="94"/>
    <n v="92"/>
    <n v="80.989999999999995"/>
    <x v="0"/>
    <x v="3"/>
    <x v="1"/>
    <s v="Music"/>
  </r>
  <r>
    <x v="146"/>
    <n v="62"/>
    <n v="54"/>
    <n v="65"/>
    <n v="81.510000000000005"/>
    <x v="1"/>
    <x v="0"/>
    <x v="2"/>
    <s v="Sports"/>
  </r>
  <r>
    <x v="147"/>
    <n v="86"/>
    <n v="69"/>
    <n v="46"/>
    <n v="88.67"/>
    <x v="0"/>
    <x v="1"/>
    <x v="2"/>
    <s v="Sports"/>
  </r>
  <r>
    <x v="148"/>
    <n v="55"/>
    <n v="59"/>
    <n v="42"/>
    <n v="74.39"/>
    <x v="0"/>
    <x v="0"/>
    <x v="0"/>
    <s v="Music"/>
  </r>
  <r>
    <x v="149"/>
    <n v="99"/>
    <n v="77"/>
    <n v="79"/>
    <n v="91.91"/>
    <x v="0"/>
    <x v="3"/>
    <x v="2"/>
    <s v="None"/>
  </r>
  <r>
    <x v="150"/>
    <n v="80"/>
    <n v="41"/>
    <n v="95"/>
    <n v="85.12"/>
    <x v="1"/>
    <x v="1"/>
    <x v="0"/>
    <s v="Music"/>
  </r>
  <r>
    <x v="151"/>
    <n v="65"/>
    <n v="45"/>
    <n v="87"/>
    <n v="61.53"/>
    <x v="1"/>
    <x v="1"/>
    <x v="0"/>
    <s v="Sports"/>
  </r>
  <r>
    <x v="152"/>
    <n v="85"/>
    <n v="81"/>
    <n v="47"/>
    <n v="81.86"/>
    <x v="0"/>
    <x v="2"/>
    <x v="2"/>
    <s v="Sports"/>
  </r>
  <r>
    <x v="153"/>
    <n v="89"/>
    <n v="57"/>
    <n v="92"/>
    <n v="94.48"/>
    <x v="0"/>
    <x v="2"/>
    <x v="0"/>
    <s v="Art"/>
  </r>
  <r>
    <x v="154"/>
    <n v="40"/>
    <n v="75"/>
    <n v="69"/>
    <n v="82.7"/>
    <x v="1"/>
    <x v="2"/>
    <x v="0"/>
    <s v="None"/>
  </r>
  <r>
    <x v="155"/>
    <n v="75"/>
    <n v="53"/>
    <n v="50"/>
    <n v="67.03"/>
    <x v="0"/>
    <x v="2"/>
    <x v="0"/>
    <s v="Sports"/>
  </r>
  <r>
    <x v="156"/>
    <n v="69"/>
    <n v="65"/>
    <n v="47"/>
    <n v="80.42"/>
    <x v="0"/>
    <x v="3"/>
    <x v="1"/>
    <s v="Art"/>
  </r>
  <r>
    <x v="157"/>
    <n v="41"/>
    <n v="73"/>
    <n v="96"/>
    <n v="90.28"/>
    <x v="1"/>
    <x v="3"/>
    <x v="2"/>
    <s v="None"/>
  </r>
  <r>
    <x v="158"/>
    <n v="59"/>
    <n v="93"/>
    <n v="76"/>
    <n v="64.400000000000006"/>
    <x v="0"/>
    <x v="3"/>
    <x v="1"/>
    <s v="Sports"/>
  </r>
  <r>
    <x v="159"/>
    <n v="44"/>
    <n v="69"/>
    <n v="56"/>
    <n v="92.68"/>
    <x v="0"/>
    <x v="2"/>
    <x v="0"/>
    <s v="None"/>
  </r>
  <r>
    <x v="160"/>
    <n v="70"/>
    <n v="46"/>
    <n v="47"/>
    <n v="66.7"/>
    <x v="1"/>
    <x v="2"/>
    <x v="0"/>
    <s v="Art"/>
  </r>
  <r>
    <x v="161"/>
    <n v="47"/>
    <n v="98"/>
    <n v="86"/>
    <n v="81.36"/>
    <x v="0"/>
    <x v="2"/>
    <x v="1"/>
    <s v="Sports"/>
  </r>
  <r>
    <x v="162"/>
    <n v="69"/>
    <n v="69"/>
    <n v="83"/>
    <n v="75.430000000000007"/>
    <x v="0"/>
    <x v="1"/>
    <x v="0"/>
    <s v="Music"/>
  </r>
  <r>
    <x v="163"/>
    <n v="78"/>
    <n v="57"/>
    <n v="69"/>
    <n v="69.94"/>
    <x v="0"/>
    <x v="1"/>
    <x v="0"/>
    <s v="Music"/>
  </r>
  <r>
    <x v="164"/>
    <n v="100"/>
    <n v="61"/>
    <n v="82"/>
    <n v="85.9"/>
    <x v="0"/>
    <x v="0"/>
    <x v="2"/>
    <s v="Sports"/>
  </r>
  <r>
    <x v="165"/>
    <n v="41"/>
    <n v="56"/>
    <n v="82"/>
    <n v="61.5"/>
    <x v="0"/>
    <x v="2"/>
    <x v="0"/>
    <s v="Sports"/>
  </r>
  <r>
    <x v="166"/>
    <n v="92"/>
    <n v="70"/>
    <n v="55"/>
    <n v="90.4"/>
    <x v="0"/>
    <x v="0"/>
    <x v="1"/>
    <s v="Art"/>
  </r>
  <r>
    <x v="167"/>
    <n v="52"/>
    <n v="95"/>
    <n v="94"/>
    <n v="81.08"/>
    <x v="1"/>
    <x v="2"/>
    <x v="2"/>
    <s v="Art"/>
  </r>
  <r>
    <x v="168"/>
    <n v="43"/>
    <n v="56"/>
    <n v="43"/>
    <n v="95.03"/>
    <x v="0"/>
    <x v="2"/>
    <x v="0"/>
    <s v="Art"/>
  </r>
  <r>
    <x v="169"/>
    <n v="84"/>
    <n v="70"/>
    <n v="60"/>
    <n v="80.83"/>
    <x v="1"/>
    <x v="1"/>
    <x v="2"/>
    <s v="Sports"/>
  </r>
  <r>
    <x v="170"/>
    <n v="91"/>
    <n v="52"/>
    <n v="89"/>
    <n v="61.4"/>
    <x v="0"/>
    <x v="3"/>
    <x v="1"/>
    <s v="None"/>
  </r>
  <r>
    <x v="171"/>
    <n v="47"/>
    <n v="66"/>
    <n v="73"/>
    <n v="65.739999999999995"/>
    <x v="1"/>
    <x v="3"/>
    <x v="0"/>
    <s v="None"/>
  </r>
  <r>
    <x v="172"/>
    <n v="78"/>
    <n v="59"/>
    <n v="79"/>
    <n v="91.82"/>
    <x v="0"/>
    <x v="1"/>
    <x v="0"/>
    <s v="Sports"/>
  </r>
  <r>
    <x v="173"/>
    <n v="64"/>
    <n v="56"/>
    <n v="74"/>
    <n v="79.680000000000007"/>
    <x v="1"/>
    <x v="0"/>
    <x v="0"/>
    <s v="None"/>
  </r>
  <r>
    <x v="174"/>
    <n v="46"/>
    <n v="68"/>
    <n v="52"/>
    <n v="77.680000000000007"/>
    <x v="0"/>
    <x v="1"/>
    <x v="1"/>
    <s v="Music"/>
  </r>
  <r>
    <x v="175"/>
    <n v="53"/>
    <n v="78"/>
    <n v="82"/>
    <n v="72.739999999999995"/>
    <x v="0"/>
    <x v="0"/>
    <x v="2"/>
    <s v="Sports"/>
  </r>
  <r>
    <x v="176"/>
    <n v="68"/>
    <n v="74"/>
    <n v="66"/>
    <n v="71.38"/>
    <x v="1"/>
    <x v="2"/>
    <x v="1"/>
    <s v="Music"/>
  </r>
  <r>
    <x v="177"/>
    <n v="84"/>
    <n v="47"/>
    <n v="47"/>
    <n v="98.64"/>
    <x v="1"/>
    <x v="2"/>
    <x v="0"/>
    <s v="Music"/>
  </r>
  <r>
    <x v="178"/>
    <n v="60"/>
    <n v="82"/>
    <n v="80"/>
    <n v="77.319999999999993"/>
    <x v="1"/>
    <x v="2"/>
    <x v="1"/>
    <s v="Music"/>
  </r>
  <r>
    <x v="179"/>
    <n v="76"/>
    <n v="77"/>
    <n v="81"/>
    <n v="95.36"/>
    <x v="0"/>
    <x v="1"/>
    <x v="0"/>
    <s v="Art"/>
  </r>
  <r>
    <x v="180"/>
    <n v="95"/>
    <n v="54"/>
    <n v="68"/>
    <n v="85.93"/>
    <x v="1"/>
    <x v="3"/>
    <x v="1"/>
    <s v="Music"/>
  </r>
  <r>
    <x v="181"/>
    <n v="88"/>
    <n v="89"/>
    <n v="55"/>
    <n v="94.34"/>
    <x v="0"/>
    <x v="3"/>
    <x v="0"/>
    <s v="Art"/>
  </r>
  <r>
    <x v="182"/>
    <n v="72"/>
    <n v="40"/>
    <n v="82"/>
    <n v="94.1"/>
    <x v="0"/>
    <x v="3"/>
    <x v="1"/>
    <s v="Sports"/>
  </r>
  <r>
    <x v="183"/>
    <n v="97"/>
    <n v="72"/>
    <n v="92"/>
    <n v="98.25"/>
    <x v="0"/>
    <x v="1"/>
    <x v="1"/>
    <s v="Art"/>
  </r>
  <r>
    <x v="184"/>
    <n v="80"/>
    <n v="42"/>
    <n v="85"/>
    <n v="87.92"/>
    <x v="1"/>
    <x v="1"/>
    <x v="2"/>
    <s v="None"/>
  </r>
  <r>
    <x v="185"/>
    <n v="64"/>
    <n v="78"/>
    <n v="44"/>
    <n v="92.22"/>
    <x v="1"/>
    <x v="1"/>
    <x v="1"/>
    <s v="Music"/>
  </r>
  <r>
    <x v="186"/>
    <n v="92"/>
    <n v="77"/>
    <n v="76"/>
    <n v="89.33"/>
    <x v="0"/>
    <x v="1"/>
    <x v="1"/>
    <s v="Music"/>
  </r>
  <r>
    <x v="187"/>
    <n v="98"/>
    <n v="87"/>
    <n v="79"/>
    <n v="84.21"/>
    <x v="1"/>
    <x v="3"/>
    <x v="0"/>
    <s v="None"/>
  </r>
  <r>
    <x v="188"/>
    <n v="98"/>
    <n v="54"/>
    <n v="79"/>
    <n v="88.69"/>
    <x v="1"/>
    <x v="3"/>
    <x v="2"/>
    <s v="Art"/>
  </r>
  <r>
    <x v="189"/>
    <n v="85"/>
    <n v="100"/>
    <n v="81"/>
    <n v="88.63"/>
    <x v="1"/>
    <x v="3"/>
    <x v="1"/>
    <s v="Music"/>
  </r>
  <r>
    <x v="190"/>
    <n v="53"/>
    <n v="81"/>
    <n v="99"/>
    <n v="61.64"/>
    <x v="1"/>
    <x v="0"/>
    <x v="2"/>
    <s v="Art"/>
  </r>
  <r>
    <x v="191"/>
    <n v="48"/>
    <n v="57"/>
    <n v="49"/>
    <n v="80.64"/>
    <x v="0"/>
    <x v="2"/>
    <x v="0"/>
    <s v="None"/>
  </r>
  <r>
    <x v="192"/>
    <n v="54"/>
    <n v="77"/>
    <n v="54"/>
    <n v="91.71"/>
    <x v="0"/>
    <x v="1"/>
    <x v="2"/>
    <s v="Music"/>
  </r>
  <r>
    <x v="193"/>
    <n v="46"/>
    <n v="70"/>
    <n v="60"/>
    <n v="69.72"/>
    <x v="1"/>
    <x v="3"/>
    <x v="0"/>
    <s v="None"/>
  </r>
  <r>
    <x v="194"/>
    <n v="41"/>
    <n v="59"/>
    <n v="73"/>
    <n v="78.61"/>
    <x v="1"/>
    <x v="0"/>
    <x v="2"/>
    <s v="Art"/>
  </r>
  <r>
    <x v="195"/>
    <n v="70"/>
    <n v="98"/>
    <n v="61"/>
    <n v="77.400000000000006"/>
    <x v="0"/>
    <x v="2"/>
    <x v="0"/>
    <s v="Art"/>
  </r>
  <r>
    <x v="196"/>
    <n v="46"/>
    <n v="46"/>
    <n v="61"/>
    <n v="76.11"/>
    <x v="1"/>
    <x v="2"/>
    <x v="0"/>
    <s v="Art"/>
  </r>
  <r>
    <x v="197"/>
    <n v="80"/>
    <n v="76"/>
    <n v="48"/>
    <n v="64.87"/>
    <x v="1"/>
    <x v="1"/>
    <x v="2"/>
    <s v="Sports"/>
  </r>
  <r>
    <x v="198"/>
    <n v="95"/>
    <n v="66"/>
    <n v="65"/>
    <n v="81.03"/>
    <x v="1"/>
    <x v="2"/>
    <x v="2"/>
    <s v="None"/>
  </r>
  <r>
    <x v="199"/>
    <n v="50"/>
    <n v="47"/>
    <n v="52"/>
    <n v="77.849999999999994"/>
    <x v="0"/>
    <x v="3"/>
    <x v="0"/>
    <s v="Art"/>
  </r>
  <r>
    <x v="200"/>
    <n v="52"/>
    <n v="53"/>
    <n v="93"/>
    <n v="86.54"/>
    <x v="1"/>
    <x v="1"/>
    <x v="0"/>
    <s v="Art"/>
  </r>
  <r>
    <x v="201"/>
    <n v="52"/>
    <n v="89"/>
    <n v="57"/>
    <n v="81.98"/>
    <x v="1"/>
    <x v="2"/>
    <x v="0"/>
    <s v="Sports"/>
  </r>
  <r>
    <x v="202"/>
    <n v="65"/>
    <n v="54"/>
    <n v="40"/>
    <n v="61.1"/>
    <x v="1"/>
    <x v="2"/>
    <x v="0"/>
    <s v="Sports"/>
  </r>
  <r>
    <x v="203"/>
    <n v="82"/>
    <n v="46"/>
    <n v="62"/>
    <n v="61.28"/>
    <x v="0"/>
    <x v="0"/>
    <x v="1"/>
    <s v="None"/>
  </r>
  <r>
    <x v="204"/>
    <n v="99"/>
    <n v="72"/>
    <n v="72"/>
    <n v="88.05"/>
    <x v="0"/>
    <x v="3"/>
    <x v="2"/>
    <s v="None"/>
  </r>
  <r>
    <x v="205"/>
    <n v="89"/>
    <n v="91"/>
    <n v="86"/>
    <n v="88.3"/>
    <x v="0"/>
    <x v="0"/>
    <x v="0"/>
    <s v="Art"/>
  </r>
  <r>
    <x v="206"/>
    <n v="47"/>
    <n v="73"/>
    <n v="70"/>
    <n v="98.4"/>
    <x v="0"/>
    <x v="0"/>
    <x v="1"/>
    <s v="None"/>
  </r>
  <r>
    <x v="207"/>
    <n v="53"/>
    <n v="43"/>
    <n v="97"/>
    <n v="95.07"/>
    <x v="0"/>
    <x v="1"/>
    <x v="0"/>
    <s v="Sports"/>
  </r>
  <r>
    <x v="208"/>
    <n v="84"/>
    <n v="40"/>
    <n v="60"/>
    <n v="78.72"/>
    <x v="0"/>
    <x v="1"/>
    <x v="0"/>
    <s v="Music"/>
  </r>
  <r>
    <x v="209"/>
    <n v="99"/>
    <n v="80"/>
    <n v="62"/>
    <n v="85.04"/>
    <x v="1"/>
    <x v="0"/>
    <x v="1"/>
    <s v="Art"/>
  </r>
  <r>
    <x v="210"/>
    <n v="41"/>
    <n v="53"/>
    <n v="55"/>
    <n v="78.290000000000006"/>
    <x v="1"/>
    <x v="3"/>
    <x v="0"/>
    <s v="Sports"/>
  </r>
  <r>
    <x v="211"/>
    <n v="95"/>
    <n v="70"/>
    <n v="100"/>
    <n v="68.92"/>
    <x v="0"/>
    <x v="0"/>
    <x v="1"/>
    <s v="Sports"/>
  </r>
  <r>
    <x v="212"/>
    <n v="81"/>
    <n v="77"/>
    <n v="66"/>
    <n v="75.069999999999993"/>
    <x v="0"/>
    <x v="1"/>
    <x v="1"/>
    <s v="Art"/>
  </r>
  <r>
    <x v="213"/>
    <n v="54"/>
    <n v="89"/>
    <n v="76"/>
    <n v="64.16"/>
    <x v="0"/>
    <x v="1"/>
    <x v="0"/>
    <s v="None"/>
  </r>
  <r>
    <x v="214"/>
    <n v="96"/>
    <n v="92"/>
    <n v="77"/>
    <n v="86.66"/>
    <x v="1"/>
    <x v="2"/>
    <x v="1"/>
    <s v="Art"/>
  </r>
  <r>
    <x v="215"/>
    <n v="63"/>
    <n v="59"/>
    <n v="91"/>
    <n v="67.680000000000007"/>
    <x v="0"/>
    <x v="1"/>
    <x v="1"/>
    <s v="Sports"/>
  </r>
  <r>
    <x v="216"/>
    <n v="73"/>
    <n v="42"/>
    <n v="53"/>
    <n v="79.02"/>
    <x v="0"/>
    <x v="1"/>
    <x v="0"/>
    <s v="None"/>
  </r>
  <r>
    <x v="217"/>
    <n v="43"/>
    <n v="74"/>
    <n v="76"/>
    <n v="98.7"/>
    <x v="0"/>
    <x v="2"/>
    <x v="0"/>
    <s v="Sports"/>
  </r>
  <r>
    <x v="218"/>
    <n v="57"/>
    <n v="85"/>
    <n v="86"/>
    <n v="61.27"/>
    <x v="0"/>
    <x v="2"/>
    <x v="0"/>
    <s v="Art"/>
  </r>
  <r>
    <x v="219"/>
    <n v="64"/>
    <n v="72"/>
    <n v="46"/>
    <n v="66.069999999999993"/>
    <x v="0"/>
    <x v="3"/>
    <x v="1"/>
    <s v="Art"/>
  </r>
  <r>
    <x v="220"/>
    <n v="86"/>
    <n v="54"/>
    <n v="51"/>
    <n v="71.94"/>
    <x v="0"/>
    <x v="3"/>
    <x v="2"/>
    <s v="None"/>
  </r>
  <r>
    <x v="221"/>
    <n v="63"/>
    <n v="42"/>
    <n v="67"/>
    <n v="97.67"/>
    <x v="1"/>
    <x v="1"/>
    <x v="1"/>
    <s v="None"/>
  </r>
  <r>
    <x v="222"/>
    <n v="45"/>
    <n v="67"/>
    <n v="42"/>
    <n v="96.35"/>
    <x v="1"/>
    <x v="3"/>
    <x v="1"/>
    <s v="Sports"/>
  </r>
  <r>
    <x v="223"/>
    <n v="73"/>
    <n v="66"/>
    <n v="61"/>
    <n v="66.48"/>
    <x v="1"/>
    <x v="0"/>
    <x v="1"/>
    <s v="Music"/>
  </r>
  <r>
    <x v="224"/>
    <n v="90"/>
    <n v="86"/>
    <n v="90"/>
    <n v="99.24"/>
    <x v="1"/>
    <x v="0"/>
    <x v="1"/>
    <s v="Sports"/>
  </r>
  <r>
    <x v="225"/>
    <n v="77"/>
    <n v="86"/>
    <n v="60"/>
    <n v="90.03"/>
    <x v="1"/>
    <x v="0"/>
    <x v="0"/>
    <s v="None"/>
  </r>
  <r>
    <x v="226"/>
    <n v="42"/>
    <n v="72"/>
    <n v="68"/>
    <n v="81.599999999999994"/>
    <x v="0"/>
    <x v="0"/>
    <x v="1"/>
    <s v="Art"/>
  </r>
  <r>
    <x v="227"/>
    <n v="58"/>
    <n v="58"/>
    <n v="59"/>
    <n v="97.27"/>
    <x v="1"/>
    <x v="0"/>
    <x v="1"/>
    <s v="None"/>
  </r>
  <r>
    <x v="228"/>
    <n v="86"/>
    <n v="95"/>
    <n v="42"/>
    <n v="95.22"/>
    <x v="0"/>
    <x v="2"/>
    <x v="2"/>
    <s v="Music"/>
  </r>
  <r>
    <x v="229"/>
    <n v="85"/>
    <n v="97"/>
    <n v="66"/>
    <n v="75.650000000000006"/>
    <x v="0"/>
    <x v="3"/>
    <x v="1"/>
    <s v="Music"/>
  </r>
  <r>
    <x v="230"/>
    <n v="97"/>
    <n v="72"/>
    <n v="60"/>
    <n v="86.25"/>
    <x v="0"/>
    <x v="0"/>
    <x v="1"/>
    <s v="Sports"/>
  </r>
  <r>
    <x v="231"/>
    <n v="75"/>
    <n v="70"/>
    <n v="80"/>
    <n v="85.9"/>
    <x v="0"/>
    <x v="2"/>
    <x v="0"/>
    <s v="None"/>
  </r>
  <r>
    <x v="232"/>
    <n v="58"/>
    <n v="43"/>
    <n v="72"/>
    <n v="73.08"/>
    <x v="0"/>
    <x v="2"/>
    <x v="2"/>
    <s v="Art"/>
  </r>
  <r>
    <x v="233"/>
    <n v="67"/>
    <n v="71"/>
    <n v="69"/>
    <n v="67.180000000000007"/>
    <x v="0"/>
    <x v="1"/>
    <x v="2"/>
    <s v="Music"/>
  </r>
  <r>
    <x v="234"/>
    <n v="86"/>
    <n v="81"/>
    <n v="87"/>
    <n v="78.67"/>
    <x v="0"/>
    <x v="1"/>
    <x v="1"/>
    <s v="Sports"/>
  </r>
  <r>
    <x v="235"/>
    <n v="94"/>
    <n v="67"/>
    <n v="78"/>
    <n v="70.53"/>
    <x v="1"/>
    <x v="3"/>
    <x v="2"/>
    <s v="None"/>
  </r>
  <r>
    <x v="236"/>
    <n v="95"/>
    <n v="95"/>
    <n v="80"/>
    <n v="74.2"/>
    <x v="1"/>
    <x v="1"/>
    <x v="2"/>
    <s v="Art"/>
  </r>
  <r>
    <x v="237"/>
    <n v="49"/>
    <n v="55"/>
    <n v="98"/>
    <n v="98.17"/>
    <x v="0"/>
    <x v="1"/>
    <x v="2"/>
    <s v="Art"/>
  </r>
  <r>
    <x v="238"/>
    <n v="57"/>
    <n v="88"/>
    <n v="48"/>
    <n v="78.45"/>
    <x v="1"/>
    <x v="3"/>
    <x v="1"/>
    <s v="Art"/>
  </r>
  <r>
    <x v="239"/>
    <n v="43"/>
    <n v="82"/>
    <n v="87"/>
    <n v="87.4"/>
    <x v="0"/>
    <x v="2"/>
    <x v="2"/>
    <s v="Sports"/>
  </r>
  <r>
    <x v="240"/>
    <n v="51"/>
    <n v="67"/>
    <n v="77"/>
    <n v="73.45"/>
    <x v="1"/>
    <x v="0"/>
    <x v="2"/>
    <s v="Art"/>
  </r>
  <r>
    <x v="241"/>
    <n v="66"/>
    <n v="54"/>
    <n v="62"/>
    <n v="99.83"/>
    <x v="0"/>
    <x v="1"/>
    <x v="2"/>
    <s v="None"/>
  </r>
  <r>
    <x v="242"/>
    <n v="68"/>
    <n v="87"/>
    <n v="93"/>
    <n v="86.35"/>
    <x v="1"/>
    <x v="3"/>
    <x v="0"/>
    <s v="None"/>
  </r>
  <r>
    <x v="243"/>
    <n v="96"/>
    <n v="61"/>
    <n v="62"/>
    <n v="67.84"/>
    <x v="1"/>
    <x v="2"/>
    <x v="0"/>
    <s v="None"/>
  </r>
  <r>
    <x v="244"/>
    <n v="51"/>
    <n v="70"/>
    <n v="40"/>
    <n v="63.93"/>
    <x v="1"/>
    <x v="0"/>
    <x v="1"/>
    <s v="Music"/>
  </r>
  <r>
    <x v="245"/>
    <n v="50"/>
    <n v="99"/>
    <n v="60"/>
    <n v="97.73"/>
    <x v="0"/>
    <x v="1"/>
    <x v="0"/>
    <s v="Sports"/>
  </r>
  <r>
    <x v="246"/>
    <n v="43"/>
    <n v="60"/>
    <n v="71"/>
    <n v="97.79"/>
    <x v="0"/>
    <x v="0"/>
    <x v="1"/>
    <s v="Sports"/>
  </r>
  <r>
    <x v="247"/>
    <n v="85"/>
    <n v="71"/>
    <n v="84"/>
    <n v="84.85"/>
    <x v="1"/>
    <x v="1"/>
    <x v="0"/>
    <s v="Sports"/>
  </r>
  <r>
    <x v="248"/>
    <n v="98"/>
    <n v="46"/>
    <n v="65"/>
    <n v="60.68"/>
    <x v="1"/>
    <x v="3"/>
    <x v="1"/>
    <s v="Sports"/>
  </r>
  <r>
    <x v="249"/>
    <n v="98"/>
    <n v="72"/>
    <n v="72"/>
    <n v="69.02"/>
    <x v="1"/>
    <x v="2"/>
    <x v="2"/>
    <s v="Non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6:A7" firstHeaderRow="1" firstDataRow="1" firstDataCol="0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science_score" fld="2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28:B31" firstHeaderRow="1" firstDataRow="1" firstDataCol="1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Average of attendance_percent" fld="4" subtotal="average" baseField="0" baseItem="0"/>
  </dataField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:A13" firstHeaderRow="1" firstDataRow="1" firstDataCol="0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english_score" fld="3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9">
  <location ref="A21:B26" firstHeaderRow="1" firstDataRow="1" firstDataCol="1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dataField="1" showAll="0"/>
    <pivotField showAll="0">
      <items count="3">
        <item x="1"/>
        <item x="0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attendance_percent" fld="4" subtotal="average" baseField="0" baseItem="0"/>
  </dataField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47:D53" firstHeaderRow="1" firstDataRow="2" firstDataCol="1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dataField="1" showAll="0"/>
    <pivotField dataField="1" showAll="0"/>
    <pivotField dataField="1" showAll="0"/>
    <pivotField showAll="0"/>
    <pivotField showAll="0">
      <items count="3">
        <item x="1"/>
        <item x="0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math_score" fld="1" subtotal="average" baseField="0" baseItem="0"/>
    <dataField name="Average of english_score" fld="3" subtotal="average" baseField="0" baseItem="0"/>
    <dataField name="Average of science_score" fld="2" subtotal="average" baseField="0" baseItem="0"/>
  </dataFields>
  <chartFormats count="9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8">
  <location ref="A33:B37" firstHeaderRow="1" firstDataRow="1" firstDataCol="1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dataField="1" showAll="0"/>
    <pivotField showAll="0">
      <items count="3">
        <item x="1"/>
        <item x="0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attendance_percent" fld="4" subtotal="average" baseField="0" baseItem="0"/>
  </dataFields>
  <chartFormats count="5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5:A16" firstHeaderRow="1" firstDataRow="1" firstDataCol="0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dataField="1" showAll="0"/>
    <pivotField showAll="0">
      <items count="3">
        <item x="1"/>
        <item x="0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Average of attendance_percent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A4" firstHeaderRow="1" firstDataRow="1" firstDataCol="0"/>
  <pivotFields count="9">
    <pivotField dataField="1"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tudents Count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9:A10" firstHeaderRow="1" firstDataRow="1" firstDataCol="0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math_score" fld="1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3">
  <location ref="A39:B44" firstHeaderRow="1" firstDataRow="1" firstDataCol="1"/>
  <pivotFields count="9">
    <pivotField showAll="0">
      <items count="2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t="default"/>
      </items>
    </pivotField>
    <pivotField showAll="0"/>
    <pivotField showAll="0"/>
    <pivotField showAll="0"/>
    <pivotField dataField="1" showAll="0"/>
    <pivotField showAll="0">
      <items count="3"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5">
        <item x="2"/>
        <item x="1"/>
        <item x="3"/>
        <item x="0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attendance_percent" fld="4" subtotal="average" baseField="0" baseItem="0"/>
  </dataFields>
  <chartFormats count="9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tudent_records" displayName="student_records" ref="A1:K251" totalsRowShown="0" headerRowDxfId="1" dataDxfId="0">
  <tableColumns count="11">
    <tableColumn id="1" name="student_id" dataDxfId="12"/>
    <tableColumn id="2" name="math_score" dataDxfId="11"/>
    <tableColumn id="3" name="science_score" dataDxfId="10"/>
    <tableColumn id="4" name="english_score" dataDxfId="9"/>
    <tableColumn id="5" name="attendance_percent" dataDxfId="8"/>
    <tableColumn id="6" name="gender" dataDxfId="7"/>
    <tableColumn id="7" name="grade_level" dataDxfId="6"/>
    <tableColumn id="8" name="study_group" dataDxfId="5"/>
    <tableColumn id="9" name="extra_curricular" dataDxfId="4"/>
    <tableColumn id="10" name="total_marks" dataDxfId="3">
      <calculatedColumnFormula>SUM(B2, C2, D2)</calculatedColumnFormula>
    </tableColumn>
    <tableColumn id="11" name="score_percentage" dataDxfId="2">
      <calculatedColumnFormula>J2/3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</a:spPr>
      <a:bodyPr vertOverflow="clip" rtlCol="0" anchor="t"/>
      <a:lstStyle>
        <a:defPPr algn="ctr">
          <a:defRPr sz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53"/>
  <sheetViews>
    <sheetView tabSelected="1" workbookViewId="0">
      <selection activeCell="C18" sqref="C18"/>
    </sheetView>
  </sheetViews>
  <sheetFormatPr defaultRowHeight="15"/>
  <cols>
    <col min="1" max="1" width="32.28515625" customWidth="1"/>
    <col min="2" max="2" width="35" customWidth="1"/>
    <col min="3" max="3" width="23.5703125" customWidth="1"/>
    <col min="4" max="4" width="23.7109375" customWidth="1"/>
    <col min="5" max="5" width="20" bestFit="1" customWidth="1"/>
  </cols>
  <sheetData>
    <row r="3" spans="1:7">
      <c r="A3" s="4" t="s">
        <v>272</v>
      </c>
    </row>
    <row r="4" spans="1:7">
      <c r="A4" s="2">
        <v>250</v>
      </c>
    </row>
    <row r="6" spans="1:7">
      <c r="A6" t="s">
        <v>273</v>
      </c>
    </row>
    <row r="7" spans="1:7">
      <c r="A7" s="2">
        <v>69.831999999999994</v>
      </c>
    </row>
    <row r="9" spans="1:7">
      <c r="A9" t="s">
        <v>275</v>
      </c>
    </row>
    <row r="10" spans="1:7" ht="15.75" thickBot="1">
      <c r="A10" s="2">
        <v>69.912000000000006</v>
      </c>
      <c r="F10" s="3"/>
    </row>
    <row r="11" spans="1:7" ht="15.75" thickTop="1"/>
    <row r="12" spans="1:7" ht="15.75" thickBot="1">
      <c r="A12" t="s">
        <v>274</v>
      </c>
      <c r="G12" s="3"/>
    </row>
    <row r="13" spans="1:7" ht="15.75" thickTop="1">
      <c r="A13" s="2">
        <v>69.819999999999993</v>
      </c>
    </row>
    <row r="15" spans="1:7">
      <c r="A15" t="s">
        <v>276</v>
      </c>
    </row>
    <row r="16" spans="1:7">
      <c r="A16" s="2">
        <v>80.155800000000013</v>
      </c>
    </row>
    <row r="21" spans="1:2">
      <c r="A21" s="4" t="s">
        <v>277</v>
      </c>
      <c r="B21" t="s">
        <v>276</v>
      </c>
    </row>
    <row r="22" spans="1:2">
      <c r="A22" s="5" t="s">
        <v>11</v>
      </c>
      <c r="B22" s="2">
        <v>79.583880597014911</v>
      </c>
    </row>
    <row r="23" spans="1:2">
      <c r="A23" s="5" t="s">
        <v>18</v>
      </c>
      <c r="B23" s="2">
        <v>80.297619047619065</v>
      </c>
    </row>
    <row r="24" spans="1:2">
      <c r="A24" s="5" t="s">
        <v>30</v>
      </c>
      <c r="B24" s="2">
        <v>78.126724137931021</v>
      </c>
    </row>
    <row r="25" spans="1:2">
      <c r="A25" s="5" t="s">
        <v>22</v>
      </c>
      <c r="B25" s="2">
        <v>82.527903225806455</v>
      </c>
    </row>
    <row r="26" spans="1:2">
      <c r="A26" s="5" t="s">
        <v>278</v>
      </c>
      <c r="B26" s="2">
        <v>80.155800000000028</v>
      </c>
    </row>
    <row r="28" spans="1:2">
      <c r="A28" s="4" t="s">
        <v>277</v>
      </c>
      <c r="B28" t="s">
        <v>276</v>
      </c>
    </row>
    <row r="29" spans="1:2">
      <c r="A29" s="5" t="s">
        <v>15</v>
      </c>
      <c r="B29" s="2">
        <v>80.047586206896568</v>
      </c>
    </row>
    <row r="30" spans="1:2">
      <c r="A30" s="5" t="s">
        <v>10</v>
      </c>
      <c r="B30" s="2">
        <v>80.249477611940264</v>
      </c>
    </row>
    <row r="31" spans="1:2">
      <c r="A31" s="5" t="s">
        <v>278</v>
      </c>
      <c r="B31" s="2">
        <v>80.155800000000028</v>
      </c>
    </row>
    <row r="33" spans="1:4">
      <c r="A33" s="4" t="s">
        <v>277</v>
      </c>
      <c r="B33" t="s">
        <v>276</v>
      </c>
    </row>
    <row r="34" spans="1:4">
      <c r="A34" s="5" t="s">
        <v>19</v>
      </c>
      <c r="B34" s="2">
        <v>80.369878048780464</v>
      </c>
    </row>
    <row r="35" spans="1:4">
      <c r="A35" s="5" t="s">
        <v>12</v>
      </c>
      <c r="B35" s="2">
        <v>79.606046511627909</v>
      </c>
    </row>
    <row r="36" spans="1:4">
      <c r="A36" s="5" t="s">
        <v>16</v>
      </c>
      <c r="B36" s="2">
        <v>80.518292682926841</v>
      </c>
    </row>
    <row r="37" spans="1:4">
      <c r="A37" s="5" t="s">
        <v>278</v>
      </c>
      <c r="B37" s="2">
        <v>80.155799999999999</v>
      </c>
    </row>
    <row r="39" spans="1:4">
      <c r="A39" s="4" t="s">
        <v>277</v>
      </c>
      <c r="B39" t="s">
        <v>276</v>
      </c>
    </row>
    <row r="40" spans="1:4">
      <c r="A40" s="5" t="s">
        <v>25</v>
      </c>
      <c r="B40" s="2">
        <v>80.953943661971806</v>
      </c>
    </row>
    <row r="41" spans="1:4">
      <c r="A41" s="5" t="s">
        <v>20</v>
      </c>
      <c r="B41" s="2">
        <v>80.468135593220339</v>
      </c>
    </row>
    <row r="42" spans="1:4">
      <c r="A42" s="5" t="s">
        <v>35</v>
      </c>
      <c r="B42" s="2">
        <v>78.496296296296322</v>
      </c>
    </row>
    <row r="43" spans="1:4">
      <c r="A43" s="5" t="s">
        <v>13</v>
      </c>
      <c r="B43" s="2">
        <v>80.375757575757589</v>
      </c>
    </row>
    <row r="44" spans="1:4">
      <c r="A44" s="5" t="s">
        <v>278</v>
      </c>
      <c r="B44" s="2">
        <v>80.155799999999957</v>
      </c>
    </row>
    <row r="47" spans="1:4">
      <c r="B47" s="4" t="s">
        <v>279</v>
      </c>
    </row>
    <row r="48" spans="1:4">
      <c r="A48" s="4" t="s">
        <v>277</v>
      </c>
      <c r="B48" t="s">
        <v>275</v>
      </c>
      <c r="C48" t="s">
        <v>274</v>
      </c>
      <c r="D48" t="s">
        <v>273</v>
      </c>
    </row>
    <row r="49" spans="1:4">
      <c r="A49" s="5" t="s">
        <v>11</v>
      </c>
      <c r="B49" s="2">
        <v>68.447761194029852</v>
      </c>
      <c r="C49" s="2">
        <v>69.462686567164184</v>
      </c>
      <c r="D49" s="2">
        <v>68.492537313432834</v>
      </c>
    </row>
    <row r="50" spans="1:4">
      <c r="A50" s="5" t="s">
        <v>18</v>
      </c>
      <c r="B50" s="2">
        <v>68.761904761904759</v>
      </c>
      <c r="C50" s="2">
        <v>70.587301587301582</v>
      </c>
      <c r="D50" s="2">
        <v>69.650793650793645</v>
      </c>
    </row>
    <row r="51" spans="1:4">
      <c r="A51" s="5" t="s">
        <v>30</v>
      </c>
      <c r="B51" s="2">
        <v>76.793103448275858</v>
      </c>
      <c r="C51" s="2">
        <v>72.758620689655174</v>
      </c>
      <c r="D51" s="2">
        <v>70.58620689655173</v>
      </c>
    </row>
    <row r="52" spans="1:4">
      <c r="A52" s="5" t="s">
        <v>22</v>
      </c>
      <c r="B52" s="2">
        <v>66.225806451612897</v>
      </c>
      <c r="C52" s="2">
        <v>66.677419354838705</v>
      </c>
      <c r="D52" s="2">
        <v>70.758064516129039</v>
      </c>
    </row>
    <row r="53" spans="1:4">
      <c r="A53" s="5" t="s">
        <v>278</v>
      </c>
      <c r="B53" s="2">
        <v>69.912000000000006</v>
      </c>
      <c r="C53" s="2">
        <v>69.819999999999993</v>
      </c>
      <c r="D53" s="2">
        <v>69.831999999999994</v>
      </c>
    </row>
  </sheetData>
  <pageMargins left="0.7" right="0.7" top="0.75" bottom="0.75" header="0.3" footer="0.3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51"/>
  <sheetViews>
    <sheetView topLeftCell="G1" zoomScale="115" zoomScaleNormal="115" workbookViewId="0">
      <selection activeCell="N13" sqref="N13"/>
    </sheetView>
  </sheetViews>
  <sheetFormatPr defaultRowHeight="15"/>
  <cols>
    <col min="1" max="1" width="12.7109375" customWidth="1"/>
    <col min="2" max="2" width="13.42578125" customWidth="1"/>
    <col min="3" max="4" width="16" bestFit="1" customWidth="1"/>
    <col min="5" max="5" width="22" bestFit="1" customWidth="1"/>
    <col min="6" max="6" width="9.42578125" customWidth="1"/>
    <col min="7" max="7" width="13.7109375" bestFit="1" customWidth="1"/>
    <col min="8" max="8" width="14.140625" customWidth="1"/>
    <col min="9" max="9" width="19.5703125" bestFit="1" customWidth="1"/>
    <col min="10" max="10" width="11.5703125" bestFit="1" customWidth="1"/>
    <col min="11" max="11" width="16.85546875" bestFit="1" customWidth="1"/>
  </cols>
  <sheetData>
    <row r="1" spans="1:1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7" t="s">
        <v>280</v>
      </c>
      <c r="K1" s="7" t="s">
        <v>281</v>
      </c>
    </row>
    <row r="2" spans="1:11">
      <c r="A2" s="1" t="s">
        <v>9</v>
      </c>
      <c r="B2" s="1">
        <v>85</v>
      </c>
      <c r="C2" s="1">
        <v>99</v>
      </c>
      <c r="D2" s="1">
        <v>47</v>
      </c>
      <c r="E2" s="1">
        <v>68.430000000000007</v>
      </c>
      <c r="F2" s="1" t="s">
        <v>10</v>
      </c>
      <c r="G2" s="1" t="s">
        <v>11</v>
      </c>
      <c r="H2" s="1" t="s">
        <v>12</v>
      </c>
      <c r="I2" s="1" t="s">
        <v>13</v>
      </c>
      <c r="J2" s="8">
        <f t="shared" ref="J2:J65" si="0">SUM(B2, C2, D2)</f>
        <v>231</v>
      </c>
      <c r="K2" s="8">
        <f t="shared" ref="K2:K65" si="1">J2/3</f>
        <v>77</v>
      </c>
    </row>
    <row r="3" spans="1:11">
      <c r="A3" s="1" t="s">
        <v>14</v>
      </c>
      <c r="B3" s="1">
        <v>42</v>
      </c>
      <c r="C3" s="1">
        <v>63</v>
      </c>
      <c r="D3" s="1">
        <v>53</v>
      </c>
      <c r="E3" s="1">
        <v>76.849999999999994</v>
      </c>
      <c r="F3" s="1" t="s">
        <v>15</v>
      </c>
      <c r="G3" s="1" t="s">
        <v>11</v>
      </c>
      <c r="H3" s="1" t="s">
        <v>16</v>
      </c>
      <c r="I3" s="1" t="s">
        <v>13</v>
      </c>
      <c r="J3" s="8">
        <f t="shared" si="0"/>
        <v>158</v>
      </c>
      <c r="K3" s="8">
        <f t="shared" si="1"/>
        <v>52.666666666666664</v>
      </c>
    </row>
    <row r="4" spans="1:11">
      <c r="A4" s="1" t="s">
        <v>17</v>
      </c>
      <c r="B4" s="1">
        <v>68</v>
      </c>
      <c r="C4" s="1">
        <v>65</v>
      </c>
      <c r="D4" s="1">
        <v>96</v>
      </c>
      <c r="E4" s="1">
        <v>68.72</v>
      </c>
      <c r="F4" s="1" t="s">
        <v>10</v>
      </c>
      <c r="G4" s="1" t="s">
        <v>18</v>
      </c>
      <c r="H4" s="1" t="s">
        <v>19</v>
      </c>
      <c r="I4" s="1" t="s">
        <v>20</v>
      </c>
      <c r="J4" s="8">
        <f t="shared" si="0"/>
        <v>229</v>
      </c>
      <c r="K4" s="8">
        <f t="shared" si="1"/>
        <v>76.333333333333329</v>
      </c>
    </row>
    <row r="5" spans="1:11">
      <c r="A5" s="1" t="s">
        <v>21</v>
      </c>
      <c r="B5" s="1">
        <v>74</v>
      </c>
      <c r="C5" s="1">
        <v>67</v>
      </c>
      <c r="D5" s="1">
        <v>64</v>
      </c>
      <c r="E5" s="1">
        <v>93.83</v>
      </c>
      <c r="F5" s="1" t="s">
        <v>10</v>
      </c>
      <c r="G5" s="1" t="s">
        <v>22</v>
      </c>
      <c r="H5" s="1" t="s">
        <v>19</v>
      </c>
      <c r="I5" s="1" t="s">
        <v>13</v>
      </c>
      <c r="J5" s="8">
        <f t="shared" si="0"/>
        <v>205</v>
      </c>
      <c r="K5" s="8">
        <f t="shared" si="1"/>
        <v>68.333333333333329</v>
      </c>
    </row>
    <row r="6" spans="1:11">
      <c r="A6" s="1" t="s">
        <v>23</v>
      </c>
      <c r="B6" s="1">
        <v>78</v>
      </c>
      <c r="C6" s="1">
        <v>97</v>
      </c>
      <c r="D6" s="1">
        <v>71</v>
      </c>
      <c r="E6" s="1">
        <v>78.25</v>
      </c>
      <c r="F6" s="1" t="s">
        <v>15</v>
      </c>
      <c r="G6" s="1" t="s">
        <v>18</v>
      </c>
      <c r="H6" s="1" t="s">
        <v>12</v>
      </c>
      <c r="I6" s="1" t="s">
        <v>13</v>
      </c>
      <c r="J6" s="8">
        <f t="shared" si="0"/>
        <v>246</v>
      </c>
      <c r="K6" s="8">
        <f t="shared" si="1"/>
        <v>82</v>
      </c>
    </row>
    <row r="7" spans="1:11">
      <c r="A7" s="1" t="s">
        <v>24</v>
      </c>
      <c r="B7" s="1">
        <v>57</v>
      </c>
      <c r="C7" s="1">
        <v>86</v>
      </c>
      <c r="D7" s="1">
        <v>67</v>
      </c>
      <c r="E7" s="1">
        <v>71.19</v>
      </c>
      <c r="F7" s="1" t="s">
        <v>10</v>
      </c>
      <c r="G7" s="1" t="s">
        <v>11</v>
      </c>
      <c r="H7" s="1" t="s">
        <v>12</v>
      </c>
      <c r="I7" s="1" t="s">
        <v>25</v>
      </c>
      <c r="J7" s="8">
        <f t="shared" si="0"/>
        <v>210</v>
      </c>
      <c r="K7" s="8">
        <f t="shared" si="1"/>
        <v>70</v>
      </c>
    </row>
    <row r="8" spans="1:11">
      <c r="A8" s="1" t="s">
        <v>26</v>
      </c>
      <c r="B8" s="1">
        <v>59</v>
      </c>
      <c r="C8" s="1">
        <v>99</v>
      </c>
      <c r="D8" s="1">
        <v>41</v>
      </c>
      <c r="E8" s="1">
        <v>97.32</v>
      </c>
      <c r="F8" s="1" t="s">
        <v>10</v>
      </c>
      <c r="G8" s="1" t="s">
        <v>22</v>
      </c>
      <c r="H8" s="1" t="s">
        <v>16</v>
      </c>
      <c r="I8" s="1" t="s">
        <v>13</v>
      </c>
      <c r="J8" s="8">
        <f t="shared" si="0"/>
        <v>199</v>
      </c>
      <c r="K8" s="8">
        <f t="shared" si="1"/>
        <v>66.333333333333329</v>
      </c>
    </row>
    <row r="9" spans="1:11">
      <c r="A9" s="1" t="s">
        <v>27</v>
      </c>
      <c r="B9" s="1">
        <v>82</v>
      </c>
      <c r="C9" s="1">
        <v>43</v>
      </c>
      <c r="D9" s="1">
        <v>56</v>
      </c>
      <c r="E9" s="1">
        <v>72.569999999999993</v>
      </c>
      <c r="F9" s="1" t="s">
        <v>10</v>
      </c>
      <c r="G9" s="1" t="s">
        <v>11</v>
      </c>
      <c r="H9" s="1" t="s">
        <v>16</v>
      </c>
      <c r="I9" s="1" t="s">
        <v>13</v>
      </c>
      <c r="J9" s="8">
        <f t="shared" si="0"/>
        <v>181</v>
      </c>
      <c r="K9" s="8">
        <f t="shared" si="1"/>
        <v>60.333333333333336</v>
      </c>
    </row>
    <row r="10" spans="1:11">
      <c r="A10" s="1" t="s">
        <v>28</v>
      </c>
      <c r="B10" s="1">
        <v>99</v>
      </c>
      <c r="C10" s="1">
        <v>75</v>
      </c>
      <c r="D10" s="1">
        <v>66</v>
      </c>
      <c r="E10" s="1">
        <v>96.39</v>
      </c>
      <c r="F10" s="1" t="s">
        <v>15</v>
      </c>
      <c r="G10" s="1" t="s">
        <v>11</v>
      </c>
      <c r="H10" s="1" t="s">
        <v>12</v>
      </c>
      <c r="I10" s="1" t="s">
        <v>20</v>
      </c>
      <c r="J10" s="8">
        <f t="shared" si="0"/>
        <v>240</v>
      </c>
      <c r="K10" s="8">
        <f t="shared" si="1"/>
        <v>80</v>
      </c>
    </row>
    <row r="11" spans="1:11">
      <c r="A11" s="1" t="s">
        <v>29</v>
      </c>
      <c r="B11" s="1">
        <v>97</v>
      </c>
      <c r="C11" s="1">
        <v>54</v>
      </c>
      <c r="D11" s="1">
        <v>41</v>
      </c>
      <c r="E11" s="1">
        <v>61.74</v>
      </c>
      <c r="F11" s="1" t="s">
        <v>15</v>
      </c>
      <c r="G11" s="1" t="s">
        <v>30</v>
      </c>
      <c r="H11" s="1" t="s">
        <v>12</v>
      </c>
      <c r="I11" s="1" t="s">
        <v>20</v>
      </c>
      <c r="J11" s="8">
        <f t="shared" si="0"/>
        <v>192</v>
      </c>
      <c r="K11" s="8">
        <f t="shared" si="1"/>
        <v>64</v>
      </c>
    </row>
    <row r="12" spans="1:11">
      <c r="A12" s="1" t="s">
        <v>31</v>
      </c>
      <c r="B12" s="1">
        <v>62</v>
      </c>
      <c r="C12" s="1">
        <v>61</v>
      </c>
      <c r="D12" s="1">
        <v>47</v>
      </c>
      <c r="E12" s="1">
        <v>88.28</v>
      </c>
      <c r="F12" s="1" t="s">
        <v>10</v>
      </c>
      <c r="G12" s="1" t="s">
        <v>22</v>
      </c>
      <c r="H12" s="1" t="s">
        <v>12</v>
      </c>
      <c r="I12" s="1" t="s">
        <v>20</v>
      </c>
      <c r="J12" s="8">
        <f t="shared" si="0"/>
        <v>170</v>
      </c>
      <c r="K12" s="8">
        <f t="shared" si="1"/>
        <v>56.666666666666664</v>
      </c>
    </row>
    <row r="13" spans="1:11">
      <c r="A13" s="1" t="s">
        <v>32</v>
      </c>
      <c r="B13" s="1">
        <v>73</v>
      </c>
      <c r="C13" s="1">
        <v>99</v>
      </c>
      <c r="D13" s="1">
        <v>77</v>
      </c>
      <c r="E13" s="1">
        <v>79.36</v>
      </c>
      <c r="F13" s="1" t="s">
        <v>15</v>
      </c>
      <c r="G13" s="1" t="s">
        <v>11</v>
      </c>
      <c r="H13" s="1" t="s">
        <v>12</v>
      </c>
      <c r="I13" s="1" t="s">
        <v>13</v>
      </c>
      <c r="J13" s="8">
        <f t="shared" si="0"/>
        <v>249</v>
      </c>
      <c r="K13" s="8">
        <f t="shared" si="1"/>
        <v>83</v>
      </c>
    </row>
    <row r="14" spans="1:11">
      <c r="A14" s="1" t="s">
        <v>33</v>
      </c>
      <c r="B14" s="1">
        <v>72</v>
      </c>
      <c r="C14" s="1">
        <v>94</v>
      </c>
      <c r="D14" s="1">
        <v>59</v>
      </c>
      <c r="E14" s="1">
        <v>77.77</v>
      </c>
      <c r="F14" s="1" t="s">
        <v>10</v>
      </c>
      <c r="G14" s="1" t="s">
        <v>30</v>
      </c>
      <c r="H14" s="1" t="s">
        <v>19</v>
      </c>
      <c r="I14" s="1" t="s">
        <v>25</v>
      </c>
      <c r="J14" s="8">
        <f t="shared" si="0"/>
        <v>225</v>
      </c>
      <c r="K14" s="8">
        <f t="shared" si="1"/>
        <v>75</v>
      </c>
    </row>
    <row r="15" spans="1:11">
      <c r="A15" s="1" t="s">
        <v>34</v>
      </c>
      <c r="B15" s="1">
        <v>89</v>
      </c>
      <c r="C15" s="1">
        <v>88</v>
      </c>
      <c r="D15" s="1">
        <v>88</v>
      </c>
      <c r="E15" s="1">
        <v>61.45</v>
      </c>
      <c r="F15" s="1" t="s">
        <v>10</v>
      </c>
      <c r="G15" s="1" t="s">
        <v>30</v>
      </c>
      <c r="H15" s="1" t="s">
        <v>16</v>
      </c>
      <c r="I15" s="1" t="s">
        <v>35</v>
      </c>
      <c r="J15" s="8">
        <f t="shared" si="0"/>
        <v>265</v>
      </c>
      <c r="K15" s="8">
        <f t="shared" si="1"/>
        <v>88.333333333333329</v>
      </c>
    </row>
    <row r="16" spans="1:11">
      <c r="A16" s="1" t="s">
        <v>36</v>
      </c>
      <c r="B16" s="1">
        <v>87</v>
      </c>
      <c r="C16" s="1">
        <v>96</v>
      </c>
      <c r="D16" s="1">
        <v>76</v>
      </c>
      <c r="E16" s="1">
        <v>61.63</v>
      </c>
      <c r="F16" s="1" t="s">
        <v>15</v>
      </c>
      <c r="G16" s="1" t="s">
        <v>30</v>
      </c>
      <c r="H16" s="1" t="s">
        <v>16</v>
      </c>
      <c r="I16" s="1" t="s">
        <v>20</v>
      </c>
      <c r="J16" s="8">
        <f t="shared" si="0"/>
        <v>259</v>
      </c>
      <c r="K16" s="8">
        <f t="shared" si="1"/>
        <v>86.333333333333329</v>
      </c>
    </row>
    <row r="17" spans="1:11">
      <c r="A17" s="1" t="s">
        <v>37</v>
      </c>
      <c r="B17" s="1">
        <v>49</v>
      </c>
      <c r="C17" s="1">
        <v>63</v>
      </c>
      <c r="D17" s="1">
        <v>96</v>
      </c>
      <c r="E17" s="1">
        <v>73.31</v>
      </c>
      <c r="F17" s="1" t="s">
        <v>10</v>
      </c>
      <c r="G17" s="1" t="s">
        <v>11</v>
      </c>
      <c r="H17" s="1" t="s">
        <v>16</v>
      </c>
      <c r="I17" s="1" t="s">
        <v>25</v>
      </c>
      <c r="J17" s="8">
        <f t="shared" si="0"/>
        <v>208</v>
      </c>
      <c r="K17" s="8">
        <f t="shared" si="1"/>
        <v>69.333333333333329</v>
      </c>
    </row>
    <row r="18" spans="1:11">
      <c r="A18" s="1" t="s">
        <v>38</v>
      </c>
      <c r="B18" s="1">
        <v>72</v>
      </c>
      <c r="C18" s="1">
        <v>63</v>
      </c>
      <c r="D18" s="1">
        <v>60</v>
      </c>
      <c r="E18" s="1">
        <v>97.88</v>
      </c>
      <c r="F18" s="1" t="s">
        <v>15</v>
      </c>
      <c r="G18" s="1" t="s">
        <v>30</v>
      </c>
      <c r="H18" s="1" t="s">
        <v>16</v>
      </c>
      <c r="I18" s="1" t="s">
        <v>13</v>
      </c>
      <c r="J18" s="8">
        <f t="shared" si="0"/>
        <v>195</v>
      </c>
      <c r="K18" s="8">
        <f t="shared" si="1"/>
        <v>65</v>
      </c>
    </row>
    <row r="19" spans="1:11">
      <c r="A19" s="1" t="s">
        <v>39</v>
      </c>
      <c r="B19" s="1">
        <v>86</v>
      </c>
      <c r="C19" s="1">
        <v>76</v>
      </c>
      <c r="D19" s="1">
        <v>65</v>
      </c>
      <c r="E19" s="1">
        <v>84.71</v>
      </c>
      <c r="F19" s="1" t="s">
        <v>10</v>
      </c>
      <c r="G19" s="1" t="s">
        <v>30</v>
      </c>
      <c r="H19" s="1" t="s">
        <v>16</v>
      </c>
      <c r="I19" s="1" t="s">
        <v>20</v>
      </c>
      <c r="J19" s="8">
        <f t="shared" si="0"/>
        <v>227</v>
      </c>
      <c r="K19" s="8">
        <f t="shared" si="1"/>
        <v>75.666666666666671</v>
      </c>
    </row>
    <row r="20" spans="1:11">
      <c r="A20" s="1" t="s">
        <v>40</v>
      </c>
      <c r="B20" s="1">
        <v>72</v>
      </c>
      <c r="C20" s="1">
        <v>44</v>
      </c>
      <c r="D20" s="1">
        <v>70</v>
      </c>
      <c r="E20" s="1">
        <v>74.75</v>
      </c>
      <c r="F20" s="1" t="s">
        <v>15</v>
      </c>
      <c r="G20" s="1" t="s">
        <v>18</v>
      </c>
      <c r="H20" s="1" t="s">
        <v>19</v>
      </c>
      <c r="I20" s="1" t="s">
        <v>25</v>
      </c>
      <c r="J20" s="8">
        <f t="shared" si="0"/>
        <v>186</v>
      </c>
      <c r="K20" s="8">
        <f t="shared" si="1"/>
        <v>62</v>
      </c>
    </row>
    <row r="21" spans="1:11">
      <c r="A21" s="1" t="s">
        <v>41</v>
      </c>
      <c r="B21" s="1">
        <v>87</v>
      </c>
      <c r="C21" s="1">
        <v>45</v>
      </c>
      <c r="D21" s="1">
        <v>59</v>
      </c>
      <c r="E21" s="1">
        <v>84.48</v>
      </c>
      <c r="F21" s="1" t="s">
        <v>10</v>
      </c>
      <c r="G21" s="1" t="s">
        <v>11</v>
      </c>
      <c r="H21" s="1" t="s">
        <v>19</v>
      </c>
      <c r="I21" s="1" t="s">
        <v>35</v>
      </c>
      <c r="J21" s="8">
        <f t="shared" si="0"/>
        <v>191</v>
      </c>
      <c r="K21" s="8">
        <f t="shared" si="1"/>
        <v>63.666666666666664</v>
      </c>
    </row>
    <row r="22" spans="1:11">
      <c r="A22" s="1" t="s">
        <v>42</v>
      </c>
      <c r="B22" s="1">
        <v>65</v>
      </c>
      <c r="C22" s="1">
        <v>88</v>
      </c>
      <c r="D22" s="1">
        <v>45</v>
      </c>
      <c r="E22" s="1">
        <v>68.25</v>
      </c>
      <c r="F22" s="1" t="s">
        <v>10</v>
      </c>
      <c r="G22" s="1" t="s">
        <v>11</v>
      </c>
      <c r="H22" s="1" t="s">
        <v>12</v>
      </c>
      <c r="I22" s="1" t="s">
        <v>25</v>
      </c>
      <c r="J22" s="8">
        <f t="shared" si="0"/>
        <v>198</v>
      </c>
      <c r="K22" s="8">
        <f t="shared" si="1"/>
        <v>66</v>
      </c>
    </row>
    <row r="23" spans="1:11">
      <c r="A23" s="1" t="s">
        <v>43</v>
      </c>
      <c r="B23" s="1">
        <v>59</v>
      </c>
      <c r="C23" s="1">
        <v>96</v>
      </c>
      <c r="D23" s="1">
        <v>89</v>
      </c>
      <c r="E23" s="1">
        <v>66.599999999999994</v>
      </c>
      <c r="F23" s="1" t="s">
        <v>15</v>
      </c>
      <c r="G23" s="1" t="s">
        <v>30</v>
      </c>
      <c r="H23" s="1" t="s">
        <v>16</v>
      </c>
      <c r="I23" s="1" t="s">
        <v>13</v>
      </c>
      <c r="J23" s="8">
        <f t="shared" si="0"/>
        <v>244</v>
      </c>
      <c r="K23" s="8">
        <f t="shared" si="1"/>
        <v>81.333333333333329</v>
      </c>
    </row>
    <row r="24" spans="1:11">
      <c r="A24" s="1" t="s">
        <v>44</v>
      </c>
      <c r="B24" s="1">
        <v>54</v>
      </c>
      <c r="C24" s="1">
        <v>100</v>
      </c>
      <c r="D24" s="1">
        <v>54</v>
      </c>
      <c r="E24" s="1">
        <v>74.47</v>
      </c>
      <c r="F24" s="1" t="s">
        <v>10</v>
      </c>
      <c r="G24" s="1" t="s">
        <v>18</v>
      </c>
      <c r="H24" s="1" t="s">
        <v>16</v>
      </c>
      <c r="I24" s="1" t="s">
        <v>20</v>
      </c>
      <c r="J24" s="8">
        <f t="shared" si="0"/>
        <v>208</v>
      </c>
      <c r="K24" s="8">
        <f t="shared" si="1"/>
        <v>69.333333333333329</v>
      </c>
    </row>
    <row r="25" spans="1:11">
      <c r="A25" s="1" t="s">
        <v>45</v>
      </c>
      <c r="B25" s="1">
        <v>76</v>
      </c>
      <c r="C25" s="1">
        <v>49</v>
      </c>
      <c r="D25" s="1">
        <v>96</v>
      </c>
      <c r="E25" s="1">
        <v>94.53</v>
      </c>
      <c r="F25" s="1" t="s">
        <v>15</v>
      </c>
      <c r="G25" s="1" t="s">
        <v>30</v>
      </c>
      <c r="H25" s="1" t="s">
        <v>19</v>
      </c>
      <c r="I25" s="1" t="s">
        <v>25</v>
      </c>
      <c r="J25" s="8">
        <f t="shared" si="0"/>
        <v>221</v>
      </c>
      <c r="K25" s="8">
        <f t="shared" si="1"/>
        <v>73.666666666666671</v>
      </c>
    </row>
    <row r="26" spans="1:11">
      <c r="A26" s="1" t="s">
        <v>46</v>
      </c>
      <c r="B26" s="1">
        <v>72</v>
      </c>
      <c r="C26" s="1">
        <v>42</v>
      </c>
      <c r="D26" s="1">
        <v>40</v>
      </c>
      <c r="E26" s="1">
        <v>80.38</v>
      </c>
      <c r="F26" s="1" t="s">
        <v>10</v>
      </c>
      <c r="G26" s="1" t="s">
        <v>11</v>
      </c>
      <c r="H26" s="1" t="s">
        <v>16</v>
      </c>
      <c r="I26" s="1" t="s">
        <v>25</v>
      </c>
      <c r="J26" s="8">
        <f t="shared" si="0"/>
        <v>154</v>
      </c>
      <c r="K26" s="8">
        <f t="shared" si="1"/>
        <v>51.333333333333336</v>
      </c>
    </row>
    <row r="27" spans="1:11">
      <c r="A27" s="1" t="s">
        <v>47</v>
      </c>
      <c r="B27" s="1">
        <v>56</v>
      </c>
      <c r="C27" s="1">
        <v>77</v>
      </c>
      <c r="D27" s="1">
        <v>65</v>
      </c>
      <c r="E27" s="1">
        <v>71.88</v>
      </c>
      <c r="F27" s="1" t="s">
        <v>15</v>
      </c>
      <c r="G27" s="1" t="s">
        <v>18</v>
      </c>
      <c r="H27" s="1" t="s">
        <v>12</v>
      </c>
      <c r="I27" s="1" t="s">
        <v>25</v>
      </c>
      <c r="J27" s="8">
        <f t="shared" si="0"/>
        <v>198</v>
      </c>
      <c r="K27" s="8">
        <f t="shared" si="1"/>
        <v>66</v>
      </c>
    </row>
    <row r="28" spans="1:11">
      <c r="A28" s="1" t="s">
        <v>48</v>
      </c>
      <c r="B28" s="1">
        <v>44</v>
      </c>
      <c r="C28" s="1">
        <v>73</v>
      </c>
      <c r="D28" s="1">
        <v>68</v>
      </c>
      <c r="E28" s="1">
        <v>98.01</v>
      </c>
      <c r="F28" s="1" t="s">
        <v>10</v>
      </c>
      <c r="G28" s="1" t="s">
        <v>18</v>
      </c>
      <c r="H28" s="1" t="s">
        <v>16</v>
      </c>
      <c r="I28" s="1" t="s">
        <v>20</v>
      </c>
      <c r="J28" s="8">
        <f t="shared" si="0"/>
        <v>185</v>
      </c>
      <c r="K28" s="8">
        <f t="shared" si="1"/>
        <v>61.666666666666664</v>
      </c>
    </row>
    <row r="29" spans="1:11">
      <c r="A29" s="1" t="s">
        <v>49</v>
      </c>
      <c r="B29" s="1">
        <v>89</v>
      </c>
      <c r="C29" s="1">
        <v>45</v>
      </c>
      <c r="D29" s="1">
        <v>41</v>
      </c>
      <c r="E29" s="1">
        <v>92.64</v>
      </c>
      <c r="F29" s="1" t="s">
        <v>15</v>
      </c>
      <c r="G29" s="1" t="s">
        <v>30</v>
      </c>
      <c r="H29" s="1" t="s">
        <v>16</v>
      </c>
      <c r="I29" s="1" t="s">
        <v>25</v>
      </c>
      <c r="J29" s="8">
        <f t="shared" si="0"/>
        <v>175</v>
      </c>
      <c r="K29" s="8">
        <f t="shared" si="1"/>
        <v>58.333333333333336</v>
      </c>
    </row>
    <row r="30" spans="1:11">
      <c r="A30" s="1" t="s">
        <v>50</v>
      </c>
      <c r="B30" s="1">
        <v>95</v>
      </c>
      <c r="C30" s="1">
        <v>100</v>
      </c>
      <c r="D30" s="1">
        <v>61</v>
      </c>
      <c r="E30" s="1">
        <v>72.92</v>
      </c>
      <c r="F30" s="1" t="s">
        <v>10</v>
      </c>
      <c r="G30" s="1" t="s">
        <v>18</v>
      </c>
      <c r="H30" s="1" t="s">
        <v>16</v>
      </c>
      <c r="I30" s="1" t="s">
        <v>13</v>
      </c>
      <c r="J30" s="8">
        <f t="shared" si="0"/>
        <v>256</v>
      </c>
      <c r="K30" s="8">
        <f t="shared" si="1"/>
        <v>85.333333333333329</v>
      </c>
    </row>
    <row r="31" spans="1:11">
      <c r="A31" s="1" t="s">
        <v>51</v>
      </c>
      <c r="B31" s="1">
        <v>43</v>
      </c>
      <c r="C31" s="1">
        <v>49</v>
      </c>
      <c r="D31" s="1">
        <v>100</v>
      </c>
      <c r="E31" s="1">
        <v>98.88</v>
      </c>
      <c r="F31" s="1" t="s">
        <v>10</v>
      </c>
      <c r="G31" s="1" t="s">
        <v>22</v>
      </c>
      <c r="H31" s="1" t="s">
        <v>12</v>
      </c>
      <c r="I31" s="1" t="s">
        <v>13</v>
      </c>
      <c r="J31" s="8">
        <f t="shared" si="0"/>
        <v>192</v>
      </c>
      <c r="K31" s="8">
        <f t="shared" si="1"/>
        <v>64</v>
      </c>
    </row>
    <row r="32" spans="1:11">
      <c r="A32" s="1" t="s">
        <v>52</v>
      </c>
      <c r="B32" s="1">
        <v>42</v>
      </c>
      <c r="C32" s="1">
        <v>55</v>
      </c>
      <c r="D32" s="1">
        <v>99</v>
      </c>
      <c r="E32" s="1">
        <v>99.49</v>
      </c>
      <c r="F32" s="1" t="s">
        <v>15</v>
      </c>
      <c r="G32" s="1" t="s">
        <v>11</v>
      </c>
      <c r="H32" s="1" t="s">
        <v>12</v>
      </c>
      <c r="I32" s="1" t="s">
        <v>35</v>
      </c>
      <c r="J32" s="8">
        <f t="shared" si="0"/>
        <v>196</v>
      </c>
      <c r="K32" s="8">
        <f t="shared" si="1"/>
        <v>65.333333333333329</v>
      </c>
    </row>
    <row r="33" spans="1:11">
      <c r="A33" s="1" t="s">
        <v>53</v>
      </c>
      <c r="B33" s="1">
        <v>60</v>
      </c>
      <c r="C33" s="1">
        <v>99</v>
      </c>
      <c r="D33" s="1">
        <v>68</v>
      </c>
      <c r="E33" s="1">
        <v>76.349999999999994</v>
      </c>
      <c r="F33" s="1" t="s">
        <v>15</v>
      </c>
      <c r="G33" s="1" t="s">
        <v>18</v>
      </c>
      <c r="H33" s="1" t="s">
        <v>19</v>
      </c>
      <c r="I33" s="1" t="s">
        <v>35</v>
      </c>
      <c r="J33" s="8">
        <f t="shared" si="0"/>
        <v>227</v>
      </c>
      <c r="K33" s="8">
        <f t="shared" si="1"/>
        <v>75.666666666666671</v>
      </c>
    </row>
    <row r="34" spans="1:11">
      <c r="A34" s="1" t="s">
        <v>54</v>
      </c>
      <c r="B34" s="1">
        <v>79</v>
      </c>
      <c r="C34" s="1">
        <v>68</v>
      </c>
      <c r="D34" s="1">
        <v>48</v>
      </c>
      <c r="E34" s="1">
        <v>86.24</v>
      </c>
      <c r="F34" s="1" t="s">
        <v>10</v>
      </c>
      <c r="G34" s="1" t="s">
        <v>18</v>
      </c>
      <c r="H34" s="1" t="s">
        <v>16</v>
      </c>
      <c r="I34" s="1" t="s">
        <v>35</v>
      </c>
      <c r="J34" s="8">
        <f t="shared" si="0"/>
        <v>195</v>
      </c>
      <c r="K34" s="8">
        <f t="shared" si="1"/>
        <v>65</v>
      </c>
    </row>
    <row r="35" spans="1:11">
      <c r="A35" s="1" t="s">
        <v>55</v>
      </c>
      <c r="B35" s="1">
        <v>42</v>
      </c>
      <c r="C35" s="1">
        <v>42</v>
      </c>
      <c r="D35" s="1">
        <v>80</v>
      </c>
      <c r="E35" s="1">
        <v>76.23</v>
      </c>
      <c r="F35" s="1" t="s">
        <v>10</v>
      </c>
      <c r="G35" s="1" t="s">
        <v>18</v>
      </c>
      <c r="H35" s="1" t="s">
        <v>19</v>
      </c>
      <c r="I35" s="1" t="s">
        <v>20</v>
      </c>
      <c r="J35" s="8">
        <f t="shared" si="0"/>
        <v>164</v>
      </c>
      <c r="K35" s="8">
        <f t="shared" si="1"/>
        <v>54.666666666666664</v>
      </c>
    </row>
    <row r="36" spans="1:11">
      <c r="A36" s="1" t="s">
        <v>56</v>
      </c>
      <c r="B36" s="1">
        <v>60</v>
      </c>
      <c r="C36" s="1">
        <v>50</v>
      </c>
      <c r="D36" s="1">
        <v>60</v>
      </c>
      <c r="E36" s="1">
        <v>70.290000000000006</v>
      </c>
      <c r="F36" s="1" t="s">
        <v>15</v>
      </c>
      <c r="G36" s="1" t="s">
        <v>22</v>
      </c>
      <c r="H36" s="1" t="s">
        <v>12</v>
      </c>
      <c r="I36" s="1" t="s">
        <v>13</v>
      </c>
      <c r="J36" s="8">
        <f t="shared" si="0"/>
        <v>170</v>
      </c>
      <c r="K36" s="8">
        <f t="shared" si="1"/>
        <v>56.666666666666664</v>
      </c>
    </row>
    <row r="37" spans="1:11">
      <c r="A37" s="1" t="s">
        <v>57</v>
      </c>
      <c r="B37" s="1">
        <v>87</v>
      </c>
      <c r="C37" s="1">
        <v>76</v>
      </c>
      <c r="D37" s="1">
        <v>94</v>
      </c>
      <c r="E37" s="1">
        <v>63.31</v>
      </c>
      <c r="F37" s="1" t="s">
        <v>10</v>
      </c>
      <c r="G37" s="1" t="s">
        <v>30</v>
      </c>
      <c r="H37" s="1" t="s">
        <v>12</v>
      </c>
      <c r="I37" s="1" t="s">
        <v>13</v>
      </c>
      <c r="J37" s="8">
        <f t="shared" si="0"/>
        <v>257</v>
      </c>
      <c r="K37" s="8">
        <f t="shared" si="1"/>
        <v>85.666666666666671</v>
      </c>
    </row>
    <row r="38" spans="1:11">
      <c r="A38" s="1" t="s">
        <v>58</v>
      </c>
      <c r="B38" s="1">
        <v>96</v>
      </c>
      <c r="C38" s="1">
        <v>43</v>
      </c>
      <c r="D38" s="1">
        <v>96</v>
      </c>
      <c r="E38" s="1">
        <v>70.540000000000006</v>
      </c>
      <c r="F38" s="1" t="s">
        <v>10</v>
      </c>
      <c r="G38" s="1" t="s">
        <v>30</v>
      </c>
      <c r="H38" s="1" t="s">
        <v>16</v>
      </c>
      <c r="I38" s="1" t="s">
        <v>35</v>
      </c>
      <c r="J38" s="8">
        <f t="shared" si="0"/>
        <v>235</v>
      </c>
      <c r="K38" s="8">
        <f t="shared" si="1"/>
        <v>78.333333333333329</v>
      </c>
    </row>
    <row r="39" spans="1:11">
      <c r="A39" s="1" t="s">
        <v>59</v>
      </c>
      <c r="B39" s="1">
        <v>88</v>
      </c>
      <c r="C39" s="1">
        <v>88</v>
      </c>
      <c r="D39" s="1">
        <v>71</v>
      </c>
      <c r="E39" s="1">
        <v>70.86</v>
      </c>
      <c r="F39" s="1" t="s">
        <v>15</v>
      </c>
      <c r="G39" s="1" t="s">
        <v>11</v>
      </c>
      <c r="H39" s="1" t="s">
        <v>19</v>
      </c>
      <c r="I39" s="1" t="s">
        <v>35</v>
      </c>
      <c r="J39" s="8">
        <f t="shared" si="0"/>
        <v>247</v>
      </c>
      <c r="K39" s="8">
        <f t="shared" si="1"/>
        <v>82.333333333333329</v>
      </c>
    </row>
    <row r="40" spans="1:11">
      <c r="A40" s="1" t="s">
        <v>60</v>
      </c>
      <c r="B40" s="1">
        <v>47</v>
      </c>
      <c r="C40" s="1">
        <v>43</v>
      </c>
      <c r="D40" s="1">
        <v>71</v>
      </c>
      <c r="E40" s="1">
        <v>75.95</v>
      </c>
      <c r="F40" s="1" t="s">
        <v>10</v>
      </c>
      <c r="G40" s="1" t="s">
        <v>11</v>
      </c>
      <c r="H40" s="1" t="s">
        <v>12</v>
      </c>
      <c r="I40" s="1" t="s">
        <v>25</v>
      </c>
      <c r="J40" s="8">
        <f t="shared" si="0"/>
        <v>161</v>
      </c>
      <c r="K40" s="8">
        <f t="shared" si="1"/>
        <v>53.666666666666664</v>
      </c>
    </row>
    <row r="41" spans="1:11">
      <c r="A41" s="1" t="s">
        <v>61</v>
      </c>
      <c r="B41" s="1">
        <v>81</v>
      </c>
      <c r="C41" s="1">
        <v>63</v>
      </c>
      <c r="D41" s="1">
        <v>86</v>
      </c>
      <c r="E41" s="1">
        <v>67.400000000000006</v>
      </c>
      <c r="F41" s="1" t="s">
        <v>10</v>
      </c>
      <c r="G41" s="1" t="s">
        <v>11</v>
      </c>
      <c r="H41" s="1" t="s">
        <v>12</v>
      </c>
      <c r="I41" s="1" t="s">
        <v>35</v>
      </c>
      <c r="J41" s="8">
        <f t="shared" si="0"/>
        <v>230</v>
      </c>
      <c r="K41" s="8">
        <f t="shared" si="1"/>
        <v>76.666666666666671</v>
      </c>
    </row>
    <row r="42" spans="1:11">
      <c r="A42" s="1" t="s">
        <v>62</v>
      </c>
      <c r="B42" s="1">
        <v>75</v>
      </c>
      <c r="C42" s="1">
        <v>67</v>
      </c>
      <c r="D42" s="1">
        <v>83</v>
      </c>
      <c r="E42" s="1">
        <v>98.15</v>
      </c>
      <c r="F42" s="1" t="s">
        <v>10</v>
      </c>
      <c r="G42" s="1" t="s">
        <v>18</v>
      </c>
      <c r="H42" s="1" t="s">
        <v>19</v>
      </c>
      <c r="I42" s="1" t="s">
        <v>20</v>
      </c>
      <c r="J42" s="8">
        <f t="shared" si="0"/>
        <v>225</v>
      </c>
      <c r="K42" s="8">
        <f t="shared" si="1"/>
        <v>75</v>
      </c>
    </row>
    <row r="43" spans="1:11">
      <c r="A43" s="1" t="s">
        <v>63</v>
      </c>
      <c r="B43" s="1">
        <v>100</v>
      </c>
      <c r="C43" s="1">
        <v>95</v>
      </c>
      <c r="D43" s="1">
        <v>79</v>
      </c>
      <c r="E43" s="1">
        <v>64.12</v>
      </c>
      <c r="F43" s="1" t="s">
        <v>15</v>
      </c>
      <c r="G43" s="1" t="s">
        <v>11</v>
      </c>
      <c r="H43" s="1" t="s">
        <v>19</v>
      </c>
      <c r="I43" s="1" t="s">
        <v>35</v>
      </c>
      <c r="J43" s="8">
        <f t="shared" si="0"/>
        <v>274</v>
      </c>
      <c r="K43" s="8">
        <f t="shared" si="1"/>
        <v>91.333333333333329</v>
      </c>
    </row>
    <row r="44" spans="1:11">
      <c r="A44" s="1" t="s">
        <v>64</v>
      </c>
      <c r="B44" s="1">
        <v>68</v>
      </c>
      <c r="C44" s="1">
        <v>74</v>
      </c>
      <c r="D44" s="1">
        <v>65</v>
      </c>
      <c r="E44" s="1">
        <v>85.01</v>
      </c>
      <c r="F44" s="1" t="s">
        <v>15</v>
      </c>
      <c r="G44" s="1" t="s">
        <v>18</v>
      </c>
      <c r="H44" s="1" t="s">
        <v>12</v>
      </c>
      <c r="I44" s="1" t="s">
        <v>13</v>
      </c>
      <c r="J44" s="8">
        <f t="shared" si="0"/>
        <v>207</v>
      </c>
      <c r="K44" s="8">
        <f t="shared" si="1"/>
        <v>69</v>
      </c>
    </row>
    <row r="45" spans="1:11">
      <c r="A45" s="1" t="s">
        <v>65</v>
      </c>
      <c r="B45" s="1">
        <v>92</v>
      </c>
      <c r="C45" s="1">
        <v>77</v>
      </c>
      <c r="D45" s="1">
        <v>87</v>
      </c>
      <c r="E45" s="1">
        <v>77.67</v>
      </c>
      <c r="F45" s="1" t="s">
        <v>15</v>
      </c>
      <c r="G45" s="1" t="s">
        <v>11</v>
      </c>
      <c r="H45" s="1" t="s">
        <v>16</v>
      </c>
      <c r="I45" s="1" t="s">
        <v>20</v>
      </c>
      <c r="J45" s="8">
        <f t="shared" si="0"/>
        <v>256</v>
      </c>
      <c r="K45" s="8">
        <f t="shared" si="1"/>
        <v>85.333333333333329</v>
      </c>
    </row>
    <row r="46" spans="1:11">
      <c r="A46" s="1" t="s">
        <v>66</v>
      </c>
      <c r="B46" s="1">
        <v>78</v>
      </c>
      <c r="C46" s="1">
        <v>89</v>
      </c>
      <c r="D46" s="1">
        <v>52</v>
      </c>
      <c r="E46" s="1">
        <v>76.94</v>
      </c>
      <c r="F46" s="1" t="s">
        <v>10</v>
      </c>
      <c r="G46" s="1" t="s">
        <v>30</v>
      </c>
      <c r="H46" s="1" t="s">
        <v>16</v>
      </c>
      <c r="I46" s="1" t="s">
        <v>25</v>
      </c>
      <c r="J46" s="8">
        <f t="shared" si="0"/>
        <v>219</v>
      </c>
      <c r="K46" s="8">
        <f t="shared" si="1"/>
        <v>73</v>
      </c>
    </row>
    <row r="47" spans="1:11">
      <c r="A47" s="1" t="s">
        <v>67</v>
      </c>
      <c r="B47" s="1">
        <v>73</v>
      </c>
      <c r="C47" s="1">
        <v>63</v>
      </c>
      <c r="D47" s="1">
        <v>42</v>
      </c>
      <c r="E47" s="1">
        <v>74.88</v>
      </c>
      <c r="F47" s="1" t="s">
        <v>15</v>
      </c>
      <c r="G47" s="1" t="s">
        <v>30</v>
      </c>
      <c r="H47" s="1" t="s">
        <v>16</v>
      </c>
      <c r="I47" s="1" t="s">
        <v>20</v>
      </c>
      <c r="J47" s="8">
        <f t="shared" si="0"/>
        <v>178</v>
      </c>
      <c r="K47" s="8">
        <f t="shared" si="1"/>
        <v>59.333333333333336</v>
      </c>
    </row>
    <row r="48" spans="1:11">
      <c r="A48" s="1" t="s">
        <v>68</v>
      </c>
      <c r="B48" s="1">
        <v>61</v>
      </c>
      <c r="C48" s="1">
        <v>61</v>
      </c>
      <c r="D48" s="1">
        <v>71</v>
      </c>
      <c r="E48" s="1">
        <v>94.73</v>
      </c>
      <c r="F48" s="1" t="s">
        <v>15</v>
      </c>
      <c r="G48" s="1" t="s">
        <v>11</v>
      </c>
      <c r="H48" s="1" t="s">
        <v>16</v>
      </c>
      <c r="I48" s="1" t="s">
        <v>25</v>
      </c>
      <c r="J48" s="8">
        <f t="shared" si="0"/>
        <v>193</v>
      </c>
      <c r="K48" s="8">
        <f t="shared" si="1"/>
        <v>64.333333333333329</v>
      </c>
    </row>
    <row r="49" spans="1:11">
      <c r="A49" s="1" t="s">
        <v>69</v>
      </c>
      <c r="B49" s="1">
        <v>94</v>
      </c>
      <c r="C49" s="1">
        <v>65</v>
      </c>
      <c r="D49" s="1">
        <v>72</v>
      </c>
      <c r="E49" s="1">
        <v>71.22</v>
      </c>
      <c r="F49" s="1" t="s">
        <v>10</v>
      </c>
      <c r="G49" s="1" t="s">
        <v>11</v>
      </c>
      <c r="H49" s="1" t="s">
        <v>19</v>
      </c>
      <c r="I49" s="1" t="s">
        <v>25</v>
      </c>
      <c r="J49" s="8">
        <f t="shared" si="0"/>
        <v>231</v>
      </c>
      <c r="K49" s="8">
        <f t="shared" si="1"/>
        <v>77</v>
      </c>
    </row>
    <row r="50" spans="1:11">
      <c r="A50" s="1" t="s">
        <v>70</v>
      </c>
      <c r="B50" s="1">
        <v>70</v>
      </c>
      <c r="C50" s="1">
        <v>57</v>
      </c>
      <c r="D50" s="1">
        <v>72</v>
      </c>
      <c r="E50" s="1">
        <v>60.82</v>
      </c>
      <c r="F50" s="1" t="s">
        <v>15</v>
      </c>
      <c r="G50" s="1" t="s">
        <v>22</v>
      </c>
      <c r="H50" s="1" t="s">
        <v>12</v>
      </c>
      <c r="I50" s="1" t="s">
        <v>13</v>
      </c>
      <c r="J50" s="8">
        <f t="shared" si="0"/>
        <v>199</v>
      </c>
      <c r="K50" s="8">
        <f t="shared" si="1"/>
        <v>66.333333333333329</v>
      </c>
    </row>
    <row r="51" spans="1:11">
      <c r="A51" s="1" t="s">
        <v>71</v>
      </c>
      <c r="B51" s="1">
        <v>67</v>
      </c>
      <c r="C51" s="1">
        <v>98</v>
      </c>
      <c r="D51" s="1">
        <v>81</v>
      </c>
      <c r="E51" s="1">
        <v>96.72</v>
      </c>
      <c r="F51" s="1" t="s">
        <v>15</v>
      </c>
      <c r="G51" s="1" t="s">
        <v>22</v>
      </c>
      <c r="H51" s="1" t="s">
        <v>12</v>
      </c>
      <c r="I51" s="1" t="s">
        <v>20</v>
      </c>
      <c r="J51" s="8">
        <f t="shared" si="0"/>
        <v>246</v>
      </c>
      <c r="K51" s="8">
        <f t="shared" si="1"/>
        <v>82</v>
      </c>
    </row>
    <row r="52" spans="1:11">
      <c r="A52" s="1" t="s">
        <v>72</v>
      </c>
      <c r="B52" s="1">
        <v>74</v>
      </c>
      <c r="C52" s="1">
        <v>42</v>
      </c>
      <c r="D52" s="1">
        <v>81</v>
      </c>
      <c r="E52" s="1">
        <v>94.58</v>
      </c>
      <c r="F52" s="1" t="s">
        <v>10</v>
      </c>
      <c r="G52" s="1" t="s">
        <v>11</v>
      </c>
      <c r="H52" s="1" t="s">
        <v>16</v>
      </c>
      <c r="I52" s="1" t="s">
        <v>25</v>
      </c>
      <c r="J52" s="8">
        <f t="shared" si="0"/>
        <v>197</v>
      </c>
      <c r="K52" s="8">
        <f t="shared" si="1"/>
        <v>65.666666666666671</v>
      </c>
    </row>
    <row r="53" spans="1:11">
      <c r="A53" s="1" t="s">
        <v>73</v>
      </c>
      <c r="B53" s="1">
        <v>73</v>
      </c>
      <c r="C53" s="1">
        <v>85</v>
      </c>
      <c r="D53" s="1">
        <v>52</v>
      </c>
      <c r="E53" s="1">
        <v>71.08</v>
      </c>
      <c r="F53" s="1" t="s">
        <v>10</v>
      </c>
      <c r="G53" s="1" t="s">
        <v>11</v>
      </c>
      <c r="H53" s="1" t="s">
        <v>12</v>
      </c>
      <c r="I53" s="1" t="s">
        <v>20</v>
      </c>
      <c r="J53" s="8">
        <f t="shared" si="0"/>
        <v>210</v>
      </c>
      <c r="K53" s="8">
        <f t="shared" si="1"/>
        <v>70</v>
      </c>
    </row>
    <row r="54" spans="1:11">
      <c r="A54" s="1" t="s">
        <v>74</v>
      </c>
      <c r="B54" s="1">
        <v>52</v>
      </c>
      <c r="C54" s="1">
        <v>50</v>
      </c>
      <c r="D54" s="1">
        <v>82</v>
      </c>
      <c r="E54" s="1">
        <v>80.94</v>
      </c>
      <c r="F54" s="1" t="s">
        <v>10</v>
      </c>
      <c r="G54" s="1" t="s">
        <v>11</v>
      </c>
      <c r="H54" s="1" t="s">
        <v>19</v>
      </c>
      <c r="I54" s="1" t="s">
        <v>25</v>
      </c>
      <c r="J54" s="8">
        <f t="shared" si="0"/>
        <v>184</v>
      </c>
      <c r="K54" s="8">
        <f t="shared" si="1"/>
        <v>61.333333333333336</v>
      </c>
    </row>
    <row r="55" spans="1:11">
      <c r="A55" s="1" t="s">
        <v>75</v>
      </c>
      <c r="B55" s="1">
        <v>80</v>
      </c>
      <c r="C55" s="1">
        <v>48</v>
      </c>
      <c r="D55" s="1">
        <v>45</v>
      </c>
      <c r="E55" s="1">
        <v>64.36</v>
      </c>
      <c r="F55" s="1" t="s">
        <v>15</v>
      </c>
      <c r="G55" s="1" t="s">
        <v>11</v>
      </c>
      <c r="H55" s="1" t="s">
        <v>12</v>
      </c>
      <c r="I55" s="1" t="s">
        <v>35</v>
      </c>
      <c r="J55" s="8">
        <f t="shared" si="0"/>
        <v>173</v>
      </c>
      <c r="K55" s="8">
        <f t="shared" si="1"/>
        <v>57.666666666666664</v>
      </c>
    </row>
    <row r="56" spans="1:11">
      <c r="A56" s="1" t="s">
        <v>76</v>
      </c>
      <c r="B56" s="1">
        <v>43</v>
      </c>
      <c r="C56" s="1">
        <v>93</v>
      </c>
      <c r="D56" s="1">
        <v>43</v>
      </c>
      <c r="E56" s="1">
        <v>63.74</v>
      </c>
      <c r="F56" s="1" t="s">
        <v>15</v>
      </c>
      <c r="G56" s="1" t="s">
        <v>18</v>
      </c>
      <c r="H56" s="1" t="s">
        <v>12</v>
      </c>
      <c r="I56" s="1" t="s">
        <v>35</v>
      </c>
      <c r="J56" s="8">
        <f t="shared" si="0"/>
        <v>179</v>
      </c>
      <c r="K56" s="8">
        <f t="shared" si="1"/>
        <v>59.666666666666664</v>
      </c>
    </row>
    <row r="57" spans="1:11">
      <c r="A57" s="1" t="s">
        <v>77</v>
      </c>
      <c r="B57" s="1">
        <v>82</v>
      </c>
      <c r="C57" s="1">
        <v>72</v>
      </c>
      <c r="D57" s="1">
        <v>77</v>
      </c>
      <c r="E57" s="1">
        <v>93.5</v>
      </c>
      <c r="F57" s="1" t="s">
        <v>15</v>
      </c>
      <c r="G57" s="1" t="s">
        <v>22</v>
      </c>
      <c r="H57" s="1" t="s">
        <v>12</v>
      </c>
      <c r="I57" s="1" t="s">
        <v>20</v>
      </c>
      <c r="J57" s="8">
        <f t="shared" si="0"/>
        <v>231</v>
      </c>
      <c r="K57" s="8">
        <f t="shared" si="1"/>
        <v>77</v>
      </c>
    </row>
    <row r="58" spans="1:11">
      <c r="A58" s="1" t="s">
        <v>78</v>
      </c>
      <c r="B58" s="1">
        <v>45</v>
      </c>
      <c r="C58" s="1">
        <v>65</v>
      </c>
      <c r="D58" s="1">
        <v>45</v>
      </c>
      <c r="E58" s="1">
        <v>76.41</v>
      </c>
      <c r="F58" s="1" t="s">
        <v>15</v>
      </c>
      <c r="G58" s="1" t="s">
        <v>11</v>
      </c>
      <c r="H58" s="1" t="s">
        <v>16</v>
      </c>
      <c r="I58" s="1" t="s">
        <v>20</v>
      </c>
      <c r="J58" s="8">
        <f t="shared" si="0"/>
        <v>155</v>
      </c>
      <c r="K58" s="8">
        <f t="shared" si="1"/>
        <v>51.666666666666664</v>
      </c>
    </row>
    <row r="59" spans="1:11">
      <c r="A59" s="1" t="s">
        <v>79</v>
      </c>
      <c r="B59" s="1">
        <v>40</v>
      </c>
      <c r="C59" s="1">
        <v>75</v>
      </c>
      <c r="D59" s="1">
        <v>90</v>
      </c>
      <c r="E59" s="1">
        <v>86.47</v>
      </c>
      <c r="F59" s="1" t="s">
        <v>15</v>
      </c>
      <c r="G59" s="1" t="s">
        <v>30</v>
      </c>
      <c r="H59" s="1" t="s">
        <v>16</v>
      </c>
      <c r="I59" s="1" t="s">
        <v>25</v>
      </c>
      <c r="J59" s="8">
        <f t="shared" si="0"/>
        <v>205</v>
      </c>
      <c r="K59" s="8">
        <f t="shared" si="1"/>
        <v>68.333333333333329</v>
      </c>
    </row>
    <row r="60" spans="1:11">
      <c r="A60" s="1" t="s">
        <v>80</v>
      </c>
      <c r="B60" s="1">
        <v>51</v>
      </c>
      <c r="C60" s="1">
        <v>43</v>
      </c>
      <c r="D60" s="1">
        <v>42</v>
      </c>
      <c r="E60" s="1">
        <v>97.73</v>
      </c>
      <c r="F60" s="1" t="s">
        <v>15</v>
      </c>
      <c r="G60" s="1" t="s">
        <v>22</v>
      </c>
      <c r="H60" s="1" t="s">
        <v>12</v>
      </c>
      <c r="I60" s="1" t="s">
        <v>25</v>
      </c>
      <c r="J60" s="8">
        <f t="shared" si="0"/>
        <v>136</v>
      </c>
      <c r="K60" s="8">
        <f t="shared" si="1"/>
        <v>45.333333333333336</v>
      </c>
    </row>
    <row r="61" spans="1:11">
      <c r="A61" s="1" t="s">
        <v>81</v>
      </c>
      <c r="B61" s="1">
        <v>74</v>
      </c>
      <c r="C61" s="1">
        <v>91</v>
      </c>
      <c r="D61" s="1">
        <v>66</v>
      </c>
      <c r="E61" s="1">
        <v>69.81</v>
      </c>
      <c r="F61" s="1" t="s">
        <v>10</v>
      </c>
      <c r="G61" s="1" t="s">
        <v>18</v>
      </c>
      <c r="H61" s="1" t="s">
        <v>19</v>
      </c>
      <c r="I61" s="1" t="s">
        <v>25</v>
      </c>
      <c r="J61" s="8">
        <f t="shared" si="0"/>
        <v>231</v>
      </c>
      <c r="K61" s="8">
        <f t="shared" si="1"/>
        <v>77</v>
      </c>
    </row>
    <row r="62" spans="1:11">
      <c r="A62" s="1" t="s">
        <v>82</v>
      </c>
      <c r="B62" s="1">
        <v>98</v>
      </c>
      <c r="C62" s="1">
        <v>41</v>
      </c>
      <c r="D62" s="1">
        <v>79</v>
      </c>
      <c r="E62" s="1">
        <v>60.53</v>
      </c>
      <c r="F62" s="1" t="s">
        <v>10</v>
      </c>
      <c r="G62" s="1" t="s">
        <v>30</v>
      </c>
      <c r="H62" s="1" t="s">
        <v>12</v>
      </c>
      <c r="I62" s="1" t="s">
        <v>13</v>
      </c>
      <c r="J62" s="8">
        <f t="shared" si="0"/>
        <v>218</v>
      </c>
      <c r="K62" s="8">
        <f t="shared" si="1"/>
        <v>72.666666666666671</v>
      </c>
    </row>
    <row r="63" spans="1:11">
      <c r="A63" s="1" t="s">
        <v>83</v>
      </c>
      <c r="B63" s="1">
        <v>50</v>
      </c>
      <c r="C63" s="1">
        <v>47</v>
      </c>
      <c r="D63" s="1">
        <v>59</v>
      </c>
      <c r="E63" s="1">
        <v>60.97</v>
      </c>
      <c r="F63" s="1" t="s">
        <v>10</v>
      </c>
      <c r="G63" s="1" t="s">
        <v>22</v>
      </c>
      <c r="H63" s="1" t="s">
        <v>19</v>
      </c>
      <c r="I63" s="1" t="s">
        <v>13</v>
      </c>
      <c r="J63" s="8">
        <f t="shared" si="0"/>
        <v>156</v>
      </c>
      <c r="K63" s="8">
        <f t="shared" si="1"/>
        <v>52</v>
      </c>
    </row>
    <row r="64" spans="1:11">
      <c r="A64" s="1" t="s">
        <v>84</v>
      </c>
      <c r="B64" s="1">
        <v>62</v>
      </c>
      <c r="C64" s="1">
        <v>46</v>
      </c>
      <c r="D64" s="1">
        <v>57</v>
      </c>
      <c r="E64" s="1">
        <v>88.38</v>
      </c>
      <c r="F64" s="1" t="s">
        <v>10</v>
      </c>
      <c r="G64" s="1" t="s">
        <v>11</v>
      </c>
      <c r="H64" s="1" t="s">
        <v>19</v>
      </c>
      <c r="I64" s="1" t="s">
        <v>20</v>
      </c>
      <c r="J64" s="8">
        <f t="shared" si="0"/>
        <v>165</v>
      </c>
      <c r="K64" s="8">
        <f t="shared" si="1"/>
        <v>55</v>
      </c>
    </row>
    <row r="65" spans="1:11">
      <c r="A65" s="1" t="s">
        <v>85</v>
      </c>
      <c r="B65" s="1">
        <v>53</v>
      </c>
      <c r="C65" s="1">
        <v>75</v>
      </c>
      <c r="D65" s="1">
        <v>59</v>
      </c>
      <c r="E65" s="1">
        <v>96.98</v>
      </c>
      <c r="F65" s="1" t="s">
        <v>15</v>
      </c>
      <c r="G65" s="1" t="s">
        <v>11</v>
      </c>
      <c r="H65" s="1" t="s">
        <v>19</v>
      </c>
      <c r="I65" s="1" t="s">
        <v>20</v>
      </c>
      <c r="J65" s="8">
        <f t="shared" si="0"/>
        <v>187</v>
      </c>
      <c r="K65" s="8">
        <f t="shared" si="1"/>
        <v>62.333333333333336</v>
      </c>
    </row>
    <row r="66" spans="1:11">
      <c r="A66" s="1" t="s">
        <v>86</v>
      </c>
      <c r="B66" s="1">
        <v>58</v>
      </c>
      <c r="C66" s="1">
        <v>73</v>
      </c>
      <c r="D66" s="1">
        <v>69</v>
      </c>
      <c r="E66" s="1">
        <v>78.69</v>
      </c>
      <c r="F66" s="1" t="s">
        <v>10</v>
      </c>
      <c r="G66" s="1" t="s">
        <v>18</v>
      </c>
      <c r="H66" s="1" t="s">
        <v>19</v>
      </c>
      <c r="I66" s="1" t="s">
        <v>35</v>
      </c>
      <c r="J66" s="8">
        <f t="shared" ref="J66:J129" si="2">SUM(B66, C66, D66)</f>
        <v>200</v>
      </c>
      <c r="K66" s="8">
        <f t="shared" ref="K66:K129" si="3">J66/3</f>
        <v>66.666666666666671</v>
      </c>
    </row>
    <row r="67" spans="1:11">
      <c r="A67" s="1" t="s">
        <v>87</v>
      </c>
      <c r="B67" s="1">
        <v>76</v>
      </c>
      <c r="C67" s="1">
        <v>79</v>
      </c>
      <c r="D67" s="1">
        <v>49</v>
      </c>
      <c r="E67" s="1">
        <v>75</v>
      </c>
      <c r="F67" s="1" t="s">
        <v>10</v>
      </c>
      <c r="G67" s="1" t="s">
        <v>11</v>
      </c>
      <c r="H67" s="1" t="s">
        <v>16</v>
      </c>
      <c r="I67" s="1" t="s">
        <v>35</v>
      </c>
      <c r="J67" s="8">
        <f t="shared" si="2"/>
        <v>204</v>
      </c>
      <c r="K67" s="8">
        <f t="shared" si="3"/>
        <v>68</v>
      </c>
    </row>
    <row r="68" spans="1:11">
      <c r="A68" s="1" t="s">
        <v>88</v>
      </c>
      <c r="B68" s="1">
        <v>55</v>
      </c>
      <c r="C68" s="1">
        <v>58</v>
      </c>
      <c r="D68" s="1">
        <v>91</v>
      </c>
      <c r="E68" s="1">
        <v>81.709999999999994</v>
      </c>
      <c r="F68" s="1" t="s">
        <v>10</v>
      </c>
      <c r="G68" s="1" t="s">
        <v>11</v>
      </c>
      <c r="H68" s="1" t="s">
        <v>12</v>
      </c>
      <c r="I68" s="1" t="s">
        <v>20</v>
      </c>
      <c r="J68" s="8">
        <f t="shared" si="2"/>
        <v>204</v>
      </c>
      <c r="K68" s="8">
        <f t="shared" si="3"/>
        <v>68</v>
      </c>
    </row>
    <row r="69" spans="1:11">
      <c r="A69" s="1" t="s">
        <v>89</v>
      </c>
      <c r="B69" s="1">
        <v>83</v>
      </c>
      <c r="C69" s="1">
        <v>68</v>
      </c>
      <c r="D69" s="1">
        <v>62</v>
      </c>
      <c r="E69" s="1">
        <v>94.36</v>
      </c>
      <c r="F69" s="1" t="s">
        <v>15</v>
      </c>
      <c r="G69" s="1" t="s">
        <v>11</v>
      </c>
      <c r="H69" s="1" t="s">
        <v>19</v>
      </c>
      <c r="I69" s="1" t="s">
        <v>25</v>
      </c>
      <c r="J69" s="8">
        <f t="shared" si="2"/>
        <v>213</v>
      </c>
      <c r="K69" s="8">
        <f t="shared" si="3"/>
        <v>71</v>
      </c>
    </row>
    <row r="70" spans="1:11">
      <c r="A70" s="1" t="s">
        <v>90</v>
      </c>
      <c r="B70" s="1">
        <v>67</v>
      </c>
      <c r="C70" s="1">
        <v>78</v>
      </c>
      <c r="D70" s="1">
        <v>86</v>
      </c>
      <c r="E70" s="1">
        <v>86.09</v>
      </c>
      <c r="F70" s="1" t="s">
        <v>10</v>
      </c>
      <c r="G70" s="1" t="s">
        <v>30</v>
      </c>
      <c r="H70" s="1" t="s">
        <v>19</v>
      </c>
      <c r="I70" s="1" t="s">
        <v>13</v>
      </c>
      <c r="J70" s="8">
        <f t="shared" si="2"/>
        <v>231</v>
      </c>
      <c r="K70" s="8">
        <f t="shared" si="3"/>
        <v>77</v>
      </c>
    </row>
    <row r="71" spans="1:11">
      <c r="A71" s="1" t="s">
        <v>91</v>
      </c>
      <c r="B71" s="1">
        <v>84</v>
      </c>
      <c r="C71" s="1">
        <v>45</v>
      </c>
      <c r="D71" s="1">
        <v>42</v>
      </c>
      <c r="E71" s="1">
        <v>69.319999999999993</v>
      </c>
      <c r="F71" s="1" t="s">
        <v>15</v>
      </c>
      <c r="G71" s="1" t="s">
        <v>11</v>
      </c>
      <c r="H71" s="1" t="s">
        <v>12</v>
      </c>
      <c r="I71" s="1" t="s">
        <v>20</v>
      </c>
      <c r="J71" s="8">
        <f t="shared" si="2"/>
        <v>171</v>
      </c>
      <c r="K71" s="8">
        <f t="shared" si="3"/>
        <v>57</v>
      </c>
    </row>
    <row r="72" spans="1:11">
      <c r="A72" s="1" t="s">
        <v>92</v>
      </c>
      <c r="B72" s="1">
        <v>70</v>
      </c>
      <c r="C72" s="1">
        <v>49</v>
      </c>
      <c r="D72" s="1">
        <v>91</v>
      </c>
      <c r="E72" s="1">
        <v>90.98</v>
      </c>
      <c r="F72" s="1" t="s">
        <v>10</v>
      </c>
      <c r="G72" s="1" t="s">
        <v>30</v>
      </c>
      <c r="H72" s="1" t="s">
        <v>19</v>
      </c>
      <c r="I72" s="1" t="s">
        <v>20</v>
      </c>
      <c r="J72" s="8">
        <f t="shared" si="2"/>
        <v>210</v>
      </c>
      <c r="K72" s="8">
        <f t="shared" si="3"/>
        <v>70</v>
      </c>
    </row>
    <row r="73" spans="1:11">
      <c r="A73" s="1" t="s">
        <v>93</v>
      </c>
      <c r="B73" s="1">
        <v>92</v>
      </c>
      <c r="C73" s="1">
        <v>80</v>
      </c>
      <c r="D73" s="1">
        <v>89</v>
      </c>
      <c r="E73" s="1">
        <v>65.38</v>
      </c>
      <c r="F73" s="1" t="s">
        <v>10</v>
      </c>
      <c r="G73" s="1" t="s">
        <v>30</v>
      </c>
      <c r="H73" s="1" t="s">
        <v>16</v>
      </c>
      <c r="I73" s="1" t="s">
        <v>35</v>
      </c>
      <c r="J73" s="8">
        <f t="shared" si="2"/>
        <v>261</v>
      </c>
      <c r="K73" s="8">
        <f t="shared" si="3"/>
        <v>87</v>
      </c>
    </row>
    <row r="74" spans="1:11">
      <c r="A74" s="1" t="s">
        <v>94</v>
      </c>
      <c r="B74" s="1">
        <v>46</v>
      </c>
      <c r="C74" s="1">
        <v>81</v>
      </c>
      <c r="D74" s="1">
        <v>97</v>
      </c>
      <c r="E74" s="1">
        <v>66.62</v>
      </c>
      <c r="F74" s="1" t="s">
        <v>10</v>
      </c>
      <c r="G74" s="1" t="s">
        <v>11</v>
      </c>
      <c r="H74" s="1" t="s">
        <v>19</v>
      </c>
      <c r="I74" s="1" t="s">
        <v>20</v>
      </c>
      <c r="J74" s="8">
        <f t="shared" si="2"/>
        <v>224</v>
      </c>
      <c r="K74" s="8">
        <f t="shared" si="3"/>
        <v>74.666666666666671</v>
      </c>
    </row>
    <row r="75" spans="1:11">
      <c r="A75" s="1" t="s">
        <v>95</v>
      </c>
      <c r="B75" s="1">
        <v>85</v>
      </c>
      <c r="C75" s="1">
        <v>44</v>
      </c>
      <c r="D75" s="1">
        <v>48</v>
      </c>
      <c r="E75" s="1">
        <v>84.51</v>
      </c>
      <c r="F75" s="1" t="s">
        <v>15</v>
      </c>
      <c r="G75" s="1" t="s">
        <v>22</v>
      </c>
      <c r="H75" s="1" t="s">
        <v>16</v>
      </c>
      <c r="I75" s="1" t="s">
        <v>35</v>
      </c>
      <c r="J75" s="8">
        <f t="shared" si="2"/>
        <v>177</v>
      </c>
      <c r="K75" s="8">
        <f t="shared" si="3"/>
        <v>59</v>
      </c>
    </row>
    <row r="76" spans="1:11">
      <c r="A76" s="1" t="s">
        <v>96</v>
      </c>
      <c r="B76" s="1">
        <v>91</v>
      </c>
      <c r="C76" s="1">
        <v>98</v>
      </c>
      <c r="D76" s="1">
        <v>88</v>
      </c>
      <c r="E76" s="1">
        <v>69.55</v>
      </c>
      <c r="F76" s="1" t="s">
        <v>10</v>
      </c>
      <c r="G76" s="1" t="s">
        <v>18</v>
      </c>
      <c r="H76" s="1" t="s">
        <v>16</v>
      </c>
      <c r="I76" s="1" t="s">
        <v>13</v>
      </c>
      <c r="J76" s="8">
        <f t="shared" si="2"/>
        <v>277</v>
      </c>
      <c r="K76" s="8">
        <f t="shared" si="3"/>
        <v>92.333333333333329</v>
      </c>
    </row>
    <row r="77" spans="1:11">
      <c r="A77" s="1" t="s">
        <v>97</v>
      </c>
      <c r="B77" s="1">
        <v>66</v>
      </c>
      <c r="C77" s="1">
        <v>63</v>
      </c>
      <c r="D77" s="1">
        <v>58</v>
      </c>
      <c r="E77" s="1">
        <v>88.19</v>
      </c>
      <c r="F77" s="1" t="s">
        <v>15</v>
      </c>
      <c r="G77" s="1" t="s">
        <v>30</v>
      </c>
      <c r="H77" s="1" t="s">
        <v>19</v>
      </c>
      <c r="I77" s="1" t="s">
        <v>20</v>
      </c>
      <c r="J77" s="8">
        <f t="shared" si="2"/>
        <v>187</v>
      </c>
      <c r="K77" s="8">
        <f t="shared" si="3"/>
        <v>62.333333333333336</v>
      </c>
    </row>
    <row r="78" spans="1:11">
      <c r="A78" s="1" t="s">
        <v>98</v>
      </c>
      <c r="B78" s="1">
        <v>56</v>
      </c>
      <c r="C78" s="1">
        <v>80</v>
      </c>
      <c r="D78" s="1">
        <v>75</v>
      </c>
      <c r="E78" s="1">
        <v>73.98</v>
      </c>
      <c r="F78" s="1" t="s">
        <v>10</v>
      </c>
      <c r="G78" s="1" t="s">
        <v>22</v>
      </c>
      <c r="H78" s="1" t="s">
        <v>12</v>
      </c>
      <c r="I78" s="1" t="s">
        <v>13</v>
      </c>
      <c r="J78" s="8">
        <f t="shared" si="2"/>
        <v>211</v>
      </c>
      <c r="K78" s="8">
        <f t="shared" si="3"/>
        <v>70.333333333333329</v>
      </c>
    </row>
    <row r="79" spans="1:11">
      <c r="A79" s="1" t="s">
        <v>99</v>
      </c>
      <c r="B79" s="1">
        <v>46</v>
      </c>
      <c r="C79" s="1">
        <v>61</v>
      </c>
      <c r="D79" s="1">
        <v>79</v>
      </c>
      <c r="E79" s="1">
        <v>71.099999999999994</v>
      </c>
      <c r="F79" s="1" t="s">
        <v>10</v>
      </c>
      <c r="G79" s="1" t="s">
        <v>11</v>
      </c>
      <c r="H79" s="1" t="s">
        <v>16</v>
      </c>
      <c r="I79" s="1" t="s">
        <v>35</v>
      </c>
      <c r="J79" s="8">
        <f t="shared" si="2"/>
        <v>186</v>
      </c>
      <c r="K79" s="8">
        <f t="shared" si="3"/>
        <v>62</v>
      </c>
    </row>
    <row r="80" spans="1:11">
      <c r="A80" s="1" t="s">
        <v>100</v>
      </c>
      <c r="B80" s="1">
        <v>54</v>
      </c>
      <c r="C80" s="1">
        <v>65</v>
      </c>
      <c r="D80" s="1">
        <v>66</v>
      </c>
      <c r="E80" s="1">
        <v>99.96</v>
      </c>
      <c r="F80" s="1" t="s">
        <v>10</v>
      </c>
      <c r="G80" s="1" t="s">
        <v>18</v>
      </c>
      <c r="H80" s="1" t="s">
        <v>19</v>
      </c>
      <c r="I80" s="1" t="s">
        <v>25</v>
      </c>
      <c r="J80" s="8">
        <f t="shared" si="2"/>
        <v>185</v>
      </c>
      <c r="K80" s="8">
        <f t="shared" si="3"/>
        <v>61.666666666666664</v>
      </c>
    </row>
    <row r="81" spans="1:11">
      <c r="A81" s="1" t="s">
        <v>101</v>
      </c>
      <c r="B81" s="1">
        <v>92</v>
      </c>
      <c r="C81" s="1">
        <v>90</v>
      </c>
      <c r="D81" s="1">
        <v>81</v>
      </c>
      <c r="E81" s="1">
        <v>61.62</v>
      </c>
      <c r="F81" s="1" t="s">
        <v>10</v>
      </c>
      <c r="G81" s="1" t="s">
        <v>18</v>
      </c>
      <c r="H81" s="1" t="s">
        <v>12</v>
      </c>
      <c r="I81" s="1" t="s">
        <v>25</v>
      </c>
      <c r="J81" s="8">
        <f t="shared" si="2"/>
        <v>263</v>
      </c>
      <c r="K81" s="8">
        <f t="shared" si="3"/>
        <v>87.666666666666671</v>
      </c>
    </row>
    <row r="82" spans="1:11">
      <c r="A82" s="1" t="s">
        <v>102</v>
      </c>
      <c r="B82" s="1">
        <v>79</v>
      </c>
      <c r="C82" s="1">
        <v>76</v>
      </c>
      <c r="D82" s="1">
        <v>67</v>
      </c>
      <c r="E82" s="1">
        <v>85.83</v>
      </c>
      <c r="F82" s="1" t="s">
        <v>10</v>
      </c>
      <c r="G82" s="1" t="s">
        <v>22</v>
      </c>
      <c r="H82" s="1" t="s">
        <v>16</v>
      </c>
      <c r="I82" s="1" t="s">
        <v>13</v>
      </c>
      <c r="J82" s="8">
        <f t="shared" si="2"/>
        <v>222</v>
      </c>
      <c r="K82" s="8">
        <f t="shared" si="3"/>
        <v>74</v>
      </c>
    </row>
    <row r="83" spans="1:11">
      <c r="A83" s="1" t="s">
        <v>103</v>
      </c>
      <c r="B83" s="1">
        <v>51</v>
      </c>
      <c r="C83" s="1">
        <v>84</v>
      </c>
      <c r="D83" s="1">
        <v>82</v>
      </c>
      <c r="E83" s="1">
        <v>61.55</v>
      </c>
      <c r="F83" s="1" t="s">
        <v>15</v>
      </c>
      <c r="G83" s="1" t="s">
        <v>30</v>
      </c>
      <c r="H83" s="1" t="s">
        <v>19</v>
      </c>
      <c r="I83" s="1" t="s">
        <v>25</v>
      </c>
      <c r="J83" s="8">
        <f t="shared" si="2"/>
        <v>217</v>
      </c>
      <c r="K83" s="8">
        <f t="shared" si="3"/>
        <v>72.333333333333329</v>
      </c>
    </row>
    <row r="84" spans="1:11">
      <c r="A84" s="1" t="s">
        <v>104</v>
      </c>
      <c r="B84" s="1">
        <v>94</v>
      </c>
      <c r="C84" s="1">
        <v>68</v>
      </c>
      <c r="D84" s="1">
        <v>90</v>
      </c>
      <c r="E84" s="1">
        <v>90.41</v>
      </c>
      <c r="F84" s="1" t="s">
        <v>15</v>
      </c>
      <c r="G84" s="1" t="s">
        <v>30</v>
      </c>
      <c r="H84" s="1" t="s">
        <v>19</v>
      </c>
      <c r="I84" s="1" t="s">
        <v>13</v>
      </c>
      <c r="J84" s="8">
        <f t="shared" si="2"/>
        <v>252</v>
      </c>
      <c r="K84" s="8">
        <f t="shared" si="3"/>
        <v>84</v>
      </c>
    </row>
    <row r="85" spans="1:11">
      <c r="A85" s="1" t="s">
        <v>105</v>
      </c>
      <c r="B85" s="1">
        <v>47</v>
      </c>
      <c r="C85" s="1">
        <v>75</v>
      </c>
      <c r="D85" s="1">
        <v>47</v>
      </c>
      <c r="E85" s="1">
        <v>69.2</v>
      </c>
      <c r="F85" s="1" t="s">
        <v>10</v>
      </c>
      <c r="G85" s="1" t="s">
        <v>18</v>
      </c>
      <c r="H85" s="1" t="s">
        <v>19</v>
      </c>
      <c r="I85" s="1" t="s">
        <v>25</v>
      </c>
      <c r="J85" s="8">
        <f t="shared" si="2"/>
        <v>169</v>
      </c>
      <c r="K85" s="8">
        <f t="shared" si="3"/>
        <v>56.333333333333336</v>
      </c>
    </row>
    <row r="86" spans="1:11">
      <c r="A86" s="1" t="s">
        <v>106</v>
      </c>
      <c r="B86" s="1">
        <v>41</v>
      </c>
      <c r="C86" s="1">
        <v>59</v>
      </c>
      <c r="D86" s="1">
        <v>81</v>
      </c>
      <c r="E86" s="1">
        <v>63.59</v>
      </c>
      <c r="F86" s="1" t="s">
        <v>15</v>
      </c>
      <c r="G86" s="1" t="s">
        <v>22</v>
      </c>
      <c r="H86" s="1" t="s">
        <v>16</v>
      </c>
      <c r="I86" s="1" t="s">
        <v>20</v>
      </c>
      <c r="J86" s="8">
        <f t="shared" si="2"/>
        <v>181</v>
      </c>
      <c r="K86" s="8">
        <f t="shared" si="3"/>
        <v>60.333333333333336</v>
      </c>
    </row>
    <row r="87" spans="1:11">
      <c r="A87" s="1" t="s">
        <v>107</v>
      </c>
      <c r="B87" s="1">
        <v>83</v>
      </c>
      <c r="C87" s="1">
        <v>57</v>
      </c>
      <c r="D87" s="1">
        <v>87</v>
      </c>
      <c r="E87" s="1">
        <v>85.94</v>
      </c>
      <c r="F87" s="1" t="s">
        <v>15</v>
      </c>
      <c r="G87" s="1" t="s">
        <v>11</v>
      </c>
      <c r="H87" s="1" t="s">
        <v>19</v>
      </c>
      <c r="I87" s="1" t="s">
        <v>35</v>
      </c>
      <c r="J87" s="8">
        <f t="shared" si="2"/>
        <v>227</v>
      </c>
      <c r="K87" s="8">
        <f t="shared" si="3"/>
        <v>75.666666666666671</v>
      </c>
    </row>
    <row r="88" spans="1:11">
      <c r="A88" s="1" t="s">
        <v>108</v>
      </c>
      <c r="B88" s="1">
        <v>98</v>
      </c>
      <c r="C88" s="1">
        <v>79</v>
      </c>
      <c r="D88" s="1">
        <v>47</v>
      </c>
      <c r="E88" s="1">
        <v>89.3</v>
      </c>
      <c r="F88" s="1" t="s">
        <v>15</v>
      </c>
      <c r="G88" s="1" t="s">
        <v>22</v>
      </c>
      <c r="H88" s="1" t="s">
        <v>19</v>
      </c>
      <c r="I88" s="1" t="s">
        <v>25</v>
      </c>
      <c r="J88" s="8">
        <f t="shared" si="2"/>
        <v>224</v>
      </c>
      <c r="K88" s="8">
        <f t="shared" si="3"/>
        <v>74.666666666666671</v>
      </c>
    </row>
    <row r="89" spans="1:11">
      <c r="A89" s="1" t="s">
        <v>109</v>
      </c>
      <c r="B89" s="1">
        <v>77</v>
      </c>
      <c r="C89" s="1">
        <v>84</v>
      </c>
      <c r="D89" s="1">
        <v>57</v>
      </c>
      <c r="E89" s="1">
        <v>87.12</v>
      </c>
      <c r="F89" s="1" t="s">
        <v>10</v>
      </c>
      <c r="G89" s="1" t="s">
        <v>22</v>
      </c>
      <c r="H89" s="1" t="s">
        <v>12</v>
      </c>
      <c r="I89" s="1" t="s">
        <v>13</v>
      </c>
      <c r="J89" s="8">
        <f t="shared" si="2"/>
        <v>218</v>
      </c>
      <c r="K89" s="8">
        <f t="shared" si="3"/>
        <v>72.666666666666671</v>
      </c>
    </row>
    <row r="90" spans="1:11">
      <c r="A90" s="1" t="s">
        <v>110</v>
      </c>
      <c r="B90" s="1">
        <v>95</v>
      </c>
      <c r="C90" s="1">
        <v>80</v>
      </c>
      <c r="D90" s="1">
        <v>98</v>
      </c>
      <c r="E90" s="1">
        <v>62.08</v>
      </c>
      <c r="F90" s="1" t="s">
        <v>15</v>
      </c>
      <c r="G90" s="1" t="s">
        <v>30</v>
      </c>
      <c r="H90" s="1" t="s">
        <v>16</v>
      </c>
      <c r="I90" s="1" t="s">
        <v>35</v>
      </c>
      <c r="J90" s="8">
        <f t="shared" si="2"/>
        <v>273</v>
      </c>
      <c r="K90" s="8">
        <f t="shared" si="3"/>
        <v>91</v>
      </c>
    </row>
    <row r="91" spans="1:11">
      <c r="A91" s="1" t="s">
        <v>111</v>
      </c>
      <c r="B91" s="1">
        <v>65</v>
      </c>
      <c r="C91" s="1">
        <v>93</v>
      </c>
      <c r="D91" s="1">
        <v>60</v>
      </c>
      <c r="E91" s="1">
        <v>71.77</v>
      </c>
      <c r="F91" s="1" t="s">
        <v>15</v>
      </c>
      <c r="G91" s="1" t="s">
        <v>22</v>
      </c>
      <c r="H91" s="1" t="s">
        <v>19</v>
      </c>
      <c r="I91" s="1" t="s">
        <v>20</v>
      </c>
      <c r="J91" s="8">
        <f t="shared" si="2"/>
        <v>218</v>
      </c>
      <c r="K91" s="8">
        <f t="shared" si="3"/>
        <v>72.666666666666671</v>
      </c>
    </row>
    <row r="92" spans="1:11">
      <c r="A92" s="1" t="s">
        <v>112</v>
      </c>
      <c r="B92" s="1">
        <v>90</v>
      </c>
      <c r="C92" s="1">
        <v>95</v>
      </c>
      <c r="D92" s="1">
        <v>85</v>
      </c>
      <c r="E92" s="1">
        <v>78.040000000000006</v>
      </c>
      <c r="F92" s="1" t="s">
        <v>15</v>
      </c>
      <c r="G92" s="1" t="s">
        <v>11</v>
      </c>
      <c r="H92" s="1" t="s">
        <v>16</v>
      </c>
      <c r="I92" s="1" t="s">
        <v>20</v>
      </c>
      <c r="J92" s="8">
        <f t="shared" si="2"/>
        <v>270</v>
      </c>
      <c r="K92" s="8">
        <f t="shared" si="3"/>
        <v>90</v>
      </c>
    </row>
    <row r="93" spans="1:11">
      <c r="A93" s="1" t="s">
        <v>113</v>
      </c>
      <c r="B93" s="1">
        <v>60</v>
      </c>
      <c r="C93" s="1">
        <v>95</v>
      </c>
      <c r="D93" s="1">
        <v>52</v>
      </c>
      <c r="E93" s="1">
        <v>71.48</v>
      </c>
      <c r="F93" s="1" t="s">
        <v>10</v>
      </c>
      <c r="G93" s="1" t="s">
        <v>22</v>
      </c>
      <c r="H93" s="1" t="s">
        <v>19</v>
      </c>
      <c r="I93" s="1" t="s">
        <v>13</v>
      </c>
      <c r="J93" s="8">
        <f t="shared" si="2"/>
        <v>207</v>
      </c>
      <c r="K93" s="8">
        <f t="shared" si="3"/>
        <v>69</v>
      </c>
    </row>
    <row r="94" spans="1:11">
      <c r="A94" s="1" t="s">
        <v>114</v>
      </c>
      <c r="B94" s="1">
        <v>96</v>
      </c>
      <c r="C94" s="1">
        <v>54</v>
      </c>
      <c r="D94" s="1">
        <v>66</v>
      </c>
      <c r="E94" s="1">
        <v>92.42</v>
      </c>
      <c r="F94" s="1" t="s">
        <v>15</v>
      </c>
      <c r="G94" s="1" t="s">
        <v>30</v>
      </c>
      <c r="H94" s="1" t="s">
        <v>19</v>
      </c>
      <c r="I94" s="1" t="s">
        <v>25</v>
      </c>
      <c r="J94" s="8">
        <f t="shared" si="2"/>
        <v>216</v>
      </c>
      <c r="K94" s="8">
        <f t="shared" si="3"/>
        <v>72</v>
      </c>
    </row>
    <row r="95" spans="1:11">
      <c r="A95" s="1" t="s">
        <v>115</v>
      </c>
      <c r="B95" s="1">
        <v>89</v>
      </c>
      <c r="C95" s="1">
        <v>54</v>
      </c>
      <c r="D95" s="1">
        <v>86</v>
      </c>
      <c r="E95" s="1">
        <v>65.239999999999995</v>
      </c>
      <c r="F95" s="1" t="s">
        <v>15</v>
      </c>
      <c r="G95" s="1" t="s">
        <v>30</v>
      </c>
      <c r="H95" s="1" t="s">
        <v>12</v>
      </c>
      <c r="I95" s="1" t="s">
        <v>25</v>
      </c>
      <c r="J95" s="8">
        <f t="shared" si="2"/>
        <v>229</v>
      </c>
      <c r="K95" s="8">
        <f t="shared" si="3"/>
        <v>76.333333333333329</v>
      </c>
    </row>
    <row r="96" spans="1:11">
      <c r="A96" s="1" t="s">
        <v>116</v>
      </c>
      <c r="B96" s="1">
        <v>52</v>
      </c>
      <c r="C96" s="1">
        <v>63</v>
      </c>
      <c r="D96" s="1">
        <v>99</v>
      </c>
      <c r="E96" s="1">
        <v>84.49</v>
      </c>
      <c r="F96" s="1" t="s">
        <v>15</v>
      </c>
      <c r="G96" s="1" t="s">
        <v>30</v>
      </c>
      <c r="H96" s="1" t="s">
        <v>19</v>
      </c>
      <c r="I96" s="1" t="s">
        <v>35</v>
      </c>
      <c r="J96" s="8">
        <f t="shared" si="2"/>
        <v>214</v>
      </c>
      <c r="K96" s="8">
        <f t="shared" si="3"/>
        <v>71.333333333333329</v>
      </c>
    </row>
    <row r="97" spans="1:11">
      <c r="A97" s="1" t="s">
        <v>117</v>
      </c>
      <c r="B97" s="1">
        <v>58</v>
      </c>
      <c r="C97" s="1">
        <v>68</v>
      </c>
      <c r="D97" s="1">
        <v>79</v>
      </c>
      <c r="E97" s="1">
        <v>99.53</v>
      </c>
      <c r="F97" s="1" t="s">
        <v>10</v>
      </c>
      <c r="G97" s="1" t="s">
        <v>18</v>
      </c>
      <c r="H97" s="1" t="s">
        <v>19</v>
      </c>
      <c r="I97" s="1" t="s">
        <v>13</v>
      </c>
      <c r="J97" s="8">
        <f t="shared" si="2"/>
        <v>205</v>
      </c>
      <c r="K97" s="8">
        <f t="shared" si="3"/>
        <v>68.333333333333329</v>
      </c>
    </row>
    <row r="98" spans="1:11">
      <c r="A98" s="1" t="s">
        <v>118</v>
      </c>
      <c r="B98" s="1">
        <v>57</v>
      </c>
      <c r="C98" s="1">
        <v>93</v>
      </c>
      <c r="D98" s="1">
        <v>92</v>
      </c>
      <c r="E98" s="1">
        <v>96.1</v>
      </c>
      <c r="F98" s="1" t="s">
        <v>10</v>
      </c>
      <c r="G98" s="1" t="s">
        <v>22</v>
      </c>
      <c r="H98" s="1" t="s">
        <v>12</v>
      </c>
      <c r="I98" s="1" t="s">
        <v>13</v>
      </c>
      <c r="J98" s="8">
        <f t="shared" si="2"/>
        <v>242</v>
      </c>
      <c r="K98" s="8">
        <f t="shared" si="3"/>
        <v>80.666666666666671</v>
      </c>
    </row>
    <row r="99" spans="1:11">
      <c r="A99" s="1" t="s">
        <v>119</v>
      </c>
      <c r="B99" s="1">
        <v>41</v>
      </c>
      <c r="C99" s="1">
        <v>56</v>
      </c>
      <c r="D99" s="1">
        <v>55</v>
      </c>
      <c r="E99" s="1">
        <v>68.89</v>
      </c>
      <c r="F99" s="1" t="s">
        <v>10</v>
      </c>
      <c r="G99" s="1" t="s">
        <v>18</v>
      </c>
      <c r="H99" s="1" t="s">
        <v>19</v>
      </c>
      <c r="I99" s="1" t="s">
        <v>35</v>
      </c>
      <c r="J99" s="8">
        <f t="shared" si="2"/>
        <v>152</v>
      </c>
      <c r="K99" s="8">
        <f t="shared" si="3"/>
        <v>50.666666666666664</v>
      </c>
    </row>
    <row r="100" spans="1:11">
      <c r="A100" s="1" t="s">
        <v>120</v>
      </c>
      <c r="B100" s="1">
        <v>91</v>
      </c>
      <c r="C100" s="1">
        <v>88</v>
      </c>
      <c r="D100" s="1">
        <v>79</v>
      </c>
      <c r="E100" s="1">
        <v>60</v>
      </c>
      <c r="F100" s="1" t="s">
        <v>15</v>
      </c>
      <c r="G100" s="1" t="s">
        <v>18</v>
      </c>
      <c r="H100" s="1" t="s">
        <v>19</v>
      </c>
      <c r="I100" s="1" t="s">
        <v>35</v>
      </c>
      <c r="J100" s="8">
        <f t="shared" si="2"/>
        <v>258</v>
      </c>
      <c r="K100" s="8">
        <f t="shared" si="3"/>
        <v>86</v>
      </c>
    </row>
    <row r="101" spans="1:11">
      <c r="A101" s="1" t="s">
        <v>121</v>
      </c>
      <c r="B101" s="1">
        <v>84</v>
      </c>
      <c r="C101" s="1">
        <v>86</v>
      </c>
      <c r="D101" s="1">
        <v>48</v>
      </c>
      <c r="E101" s="1">
        <v>99.22</v>
      </c>
      <c r="F101" s="1" t="s">
        <v>10</v>
      </c>
      <c r="G101" s="1" t="s">
        <v>11</v>
      </c>
      <c r="H101" s="1" t="s">
        <v>12</v>
      </c>
      <c r="I101" s="1" t="s">
        <v>25</v>
      </c>
      <c r="J101" s="8">
        <f t="shared" si="2"/>
        <v>218</v>
      </c>
      <c r="K101" s="8">
        <f t="shared" si="3"/>
        <v>72.666666666666671</v>
      </c>
    </row>
    <row r="102" spans="1:11">
      <c r="A102" s="1" t="s">
        <v>122</v>
      </c>
      <c r="B102" s="1">
        <v>93</v>
      </c>
      <c r="C102" s="1">
        <v>64</v>
      </c>
      <c r="D102" s="1">
        <v>66</v>
      </c>
      <c r="E102" s="1">
        <v>95.31</v>
      </c>
      <c r="F102" s="1" t="s">
        <v>10</v>
      </c>
      <c r="G102" s="1" t="s">
        <v>22</v>
      </c>
      <c r="H102" s="1" t="s">
        <v>19</v>
      </c>
      <c r="I102" s="1" t="s">
        <v>35</v>
      </c>
      <c r="J102" s="8">
        <f t="shared" si="2"/>
        <v>223</v>
      </c>
      <c r="K102" s="8">
        <f t="shared" si="3"/>
        <v>74.333333333333329</v>
      </c>
    </row>
    <row r="103" spans="1:11">
      <c r="A103" s="1" t="s">
        <v>123</v>
      </c>
      <c r="B103" s="1">
        <v>81</v>
      </c>
      <c r="C103" s="1">
        <v>55</v>
      </c>
      <c r="D103" s="1">
        <v>56</v>
      </c>
      <c r="E103" s="1">
        <v>96.78</v>
      </c>
      <c r="F103" s="1" t="s">
        <v>15</v>
      </c>
      <c r="G103" s="1" t="s">
        <v>22</v>
      </c>
      <c r="H103" s="1" t="s">
        <v>12</v>
      </c>
      <c r="I103" s="1" t="s">
        <v>13</v>
      </c>
      <c r="J103" s="8">
        <f t="shared" si="2"/>
        <v>192</v>
      </c>
      <c r="K103" s="8">
        <f t="shared" si="3"/>
        <v>64</v>
      </c>
    </row>
    <row r="104" spans="1:11">
      <c r="A104" s="1" t="s">
        <v>124</v>
      </c>
      <c r="B104" s="1">
        <v>88</v>
      </c>
      <c r="C104" s="1">
        <v>89</v>
      </c>
      <c r="D104" s="1">
        <v>42</v>
      </c>
      <c r="E104" s="1">
        <v>76.62</v>
      </c>
      <c r="F104" s="1" t="s">
        <v>10</v>
      </c>
      <c r="G104" s="1" t="s">
        <v>18</v>
      </c>
      <c r="H104" s="1" t="s">
        <v>16</v>
      </c>
      <c r="I104" s="1" t="s">
        <v>20</v>
      </c>
      <c r="J104" s="8">
        <f t="shared" si="2"/>
        <v>219</v>
      </c>
      <c r="K104" s="8">
        <f t="shared" si="3"/>
        <v>73</v>
      </c>
    </row>
    <row r="105" spans="1:11">
      <c r="A105" s="1" t="s">
        <v>125</v>
      </c>
      <c r="B105" s="1">
        <v>96</v>
      </c>
      <c r="C105" s="1">
        <v>56</v>
      </c>
      <c r="D105" s="1">
        <v>95</v>
      </c>
      <c r="E105" s="1">
        <v>89.78</v>
      </c>
      <c r="F105" s="1" t="s">
        <v>10</v>
      </c>
      <c r="G105" s="1" t="s">
        <v>18</v>
      </c>
      <c r="H105" s="1" t="s">
        <v>12</v>
      </c>
      <c r="I105" s="1" t="s">
        <v>20</v>
      </c>
      <c r="J105" s="8">
        <f t="shared" si="2"/>
        <v>247</v>
      </c>
      <c r="K105" s="8">
        <f t="shared" si="3"/>
        <v>82.333333333333329</v>
      </c>
    </row>
    <row r="106" spans="1:11">
      <c r="A106" s="1" t="s">
        <v>126</v>
      </c>
      <c r="B106" s="1">
        <v>67</v>
      </c>
      <c r="C106" s="1">
        <v>86</v>
      </c>
      <c r="D106" s="1">
        <v>92</v>
      </c>
      <c r="E106" s="1">
        <v>68.510000000000005</v>
      </c>
      <c r="F106" s="1" t="s">
        <v>10</v>
      </c>
      <c r="G106" s="1" t="s">
        <v>18</v>
      </c>
      <c r="H106" s="1" t="s">
        <v>12</v>
      </c>
      <c r="I106" s="1" t="s">
        <v>20</v>
      </c>
      <c r="J106" s="8">
        <f t="shared" si="2"/>
        <v>245</v>
      </c>
      <c r="K106" s="8">
        <f t="shared" si="3"/>
        <v>81.666666666666671</v>
      </c>
    </row>
    <row r="107" spans="1:11">
      <c r="A107" s="1" t="s">
        <v>127</v>
      </c>
      <c r="B107" s="1">
        <v>89</v>
      </c>
      <c r="C107" s="1">
        <v>86</v>
      </c>
      <c r="D107" s="1">
        <v>43</v>
      </c>
      <c r="E107" s="1">
        <v>75.69</v>
      </c>
      <c r="F107" s="1" t="s">
        <v>15</v>
      </c>
      <c r="G107" s="1" t="s">
        <v>30</v>
      </c>
      <c r="H107" s="1" t="s">
        <v>19</v>
      </c>
      <c r="I107" s="1" t="s">
        <v>20</v>
      </c>
      <c r="J107" s="8">
        <f t="shared" si="2"/>
        <v>218</v>
      </c>
      <c r="K107" s="8">
        <f t="shared" si="3"/>
        <v>72.666666666666671</v>
      </c>
    </row>
    <row r="108" spans="1:11">
      <c r="A108" s="1" t="s">
        <v>128</v>
      </c>
      <c r="B108" s="1">
        <v>62</v>
      </c>
      <c r="C108" s="1">
        <v>60</v>
      </c>
      <c r="D108" s="1">
        <v>79</v>
      </c>
      <c r="E108" s="1">
        <v>94.06</v>
      </c>
      <c r="F108" s="1" t="s">
        <v>15</v>
      </c>
      <c r="G108" s="1" t="s">
        <v>22</v>
      </c>
      <c r="H108" s="1" t="s">
        <v>16</v>
      </c>
      <c r="I108" s="1" t="s">
        <v>13</v>
      </c>
      <c r="J108" s="8">
        <f t="shared" si="2"/>
        <v>201</v>
      </c>
      <c r="K108" s="8">
        <f t="shared" si="3"/>
        <v>67</v>
      </c>
    </row>
    <row r="109" spans="1:11">
      <c r="A109" s="1" t="s">
        <v>129</v>
      </c>
      <c r="B109" s="1">
        <v>43</v>
      </c>
      <c r="C109" s="1">
        <v>83</v>
      </c>
      <c r="D109" s="1">
        <v>91</v>
      </c>
      <c r="E109" s="1">
        <v>65.099999999999994</v>
      </c>
      <c r="F109" s="1" t="s">
        <v>15</v>
      </c>
      <c r="G109" s="1" t="s">
        <v>11</v>
      </c>
      <c r="H109" s="1" t="s">
        <v>19</v>
      </c>
      <c r="I109" s="1" t="s">
        <v>20</v>
      </c>
      <c r="J109" s="8">
        <f t="shared" si="2"/>
        <v>217</v>
      </c>
      <c r="K109" s="8">
        <f t="shared" si="3"/>
        <v>72.333333333333329</v>
      </c>
    </row>
    <row r="110" spans="1:11">
      <c r="A110" s="1" t="s">
        <v>130</v>
      </c>
      <c r="B110" s="1">
        <v>43</v>
      </c>
      <c r="C110" s="1">
        <v>87</v>
      </c>
      <c r="D110" s="1">
        <v>95</v>
      </c>
      <c r="E110" s="1">
        <v>95.75</v>
      </c>
      <c r="F110" s="1" t="s">
        <v>10</v>
      </c>
      <c r="G110" s="1" t="s">
        <v>22</v>
      </c>
      <c r="H110" s="1" t="s">
        <v>19</v>
      </c>
      <c r="I110" s="1" t="s">
        <v>13</v>
      </c>
      <c r="J110" s="8">
        <f t="shared" si="2"/>
        <v>225</v>
      </c>
      <c r="K110" s="8">
        <f t="shared" si="3"/>
        <v>75</v>
      </c>
    </row>
    <row r="111" spans="1:11">
      <c r="A111" s="1" t="s">
        <v>131</v>
      </c>
      <c r="B111" s="1">
        <v>51</v>
      </c>
      <c r="C111" s="1">
        <v>66</v>
      </c>
      <c r="D111" s="1">
        <v>40</v>
      </c>
      <c r="E111" s="1">
        <v>79.86</v>
      </c>
      <c r="F111" s="1" t="s">
        <v>15</v>
      </c>
      <c r="G111" s="1" t="s">
        <v>18</v>
      </c>
      <c r="H111" s="1" t="s">
        <v>19</v>
      </c>
      <c r="I111" s="1" t="s">
        <v>25</v>
      </c>
      <c r="J111" s="8">
        <f t="shared" si="2"/>
        <v>157</v>
      </c>
      <c r="K111" s="8">
        <f t="shared" si="3"/>
        <v>52.333333333333336</v>
      </c>
    </row>
    <row r="112" spans="1:11">
      <c r="A112" s="1" t="s">
        <v>132</v>
      </c>
      <c r="B112" s="1">
        <v>61</v>
      </c>
      <c r="C112" s="1">
        <v>93</v>
      </c>
      <c r="D112" s="1">
        <v>53</v>
      </c>
      <c r="E112" s="1">
        <v>77.040000000000006</v>
      </c>
      <c r="F112" s="1" t="s">
        <v>10</v>
      </c>
      <c r="G112" s="1" t="s">
        <v>11</v>
      </c>
      <c r="H112" s="1" t="s">
        <v>19</v>
      </c>
      <c r="I112" s="1" t="s">
        <v>20</v>
      </c>
      <c r="J112" s="8">
        <f t="shared" si="2"/>
        <v>207</v>
      </c>
      <c r="K112" s="8">
        <f t="shared" si="3"/>
        <v>69</v>
      </c>
    </row>
    <row r="113" spans="1:11">
      <c r="A113" s="1" t="s">
        <v>133</v>
      </c>
      <c r="B113" s="1">
        <v>65</v>
      </c>
      <c r="C113" s="1">
        <v>44</v>
      </c>
      <c r="D113" s="1">
        <v>47</v>
      </c>
      <c r="E113" s="1">
        <v>72.23</v>
      </c>
      <c r="F113" s="1" t="s">
        <v>15</v>
      </c>
      <c r="G113" s="1" t="s">
        <v>30</v>
      </c>
      <c r="H113" s="1" t="s">
        <v>19</v>
      </c>
      <c r="I113" s="1" t="s">
        <v>13</v>
      </c>
      <c r="J113" s="8">
        <f t="shared" si="2"/>
        <v>156</v>
      </c>
      <c r="K113" s="8">
        <f t="shared" si="3"/>
        <v>52</v>
      </c>
    </row>
    <row r="114" spans="1:11">
      <c r="A114" s="1" t="s">
        <v>134</v>
      </c>
      <c r="B114" s="1">
        <v>79</v>
      </c>
      <c r="C114" s="1">
        <v>61</v>
      </c>
      <c r="D114" s="1">
        <v>46</v>
      </c>
      <c r="E114" s="1">
        <v>96.67</v>
      </c>
      <c r="F114" s="1" t="s">
        <v>15</v>
      </c>
      <c r="G114" s="1" t="s">
        <v>11</v>
      </c>
      <c r="H114" s="1" t="s">
        <v>16</v>
      </c>
      <c r="I114" s="1" t="s">
        <v>25</v>
      </c>
      <c r="J114" s="8">
        <f t="shared" si="2"/>
        <v>186</v>
      </c>
      <c r="K114" s="8">
        <f t="shared" si="3"/>
        <v>62</v>
      </c>
    </row>
    <row r="115" spans="1:11">
      <c r="A115" s="1" t="s">
        <v>135</v>
      </c>
      <c r="B115" s="1">
        <v>81</v>
      </c>
      <c r="C115" s="1">
        <v>72</v>
      </c>
      <c r="D115" s="1">
        <v>69</v>
      </c>
      <c r="E115" s="1">
        <v>80.7</v>
      </c>
      <c r="F115" s="1" t="s">
        <v>10</v>
      </c>
      <c r="G115" s="1" t="s">
        <v>30</v>
      </c>
      <c r="H115" s="1" t="s">
        <v>12</v>
      </c>
      <c r="I115" s="1" t="s">
        <v>25</v>
      </c>
      <c r="J115" s="8">
        <f t="shared" si="2"/>
        <v>222</v>
      </c>
      <c r="K115" s="8">
        <f t="shared" si="3"/>
        <v>74</v>
      </c>
    </row>
    <row r="116" spans="1:11">
      <c r="A116" s="1" t="s">
        <v>136</v>
      </c>
      <c r="B116" s="1">
        <v>74</v>
      </c>
      <c r="C116" s="1">
        <v>79</v>
      </c>
      <c r="D116" s="1">
        <v>64</v>
      </c>
      <c r="E116" s="1">
        <v>92.16</v>
      </c>
      <c r="F116" s="1" t="s">
        <v>15</v>
      </c>
      <c r="G116" s="1" t="s">
        <v>22</v>
      </c>
      <c r="H116" s="1" t="s">
        <v>16</v>
      </c>
      <c r="I116" s="1" t="s">
        <v>25</v>
      </c>
      <c r="J116" s="8">
        <f t="shared" si="2"/>
        <v>217</v>
      </c>
      <c r="K116" s="8">
        <f t="shared" si="3"/>
        <v>72.333333333333329</v>
      </c>
    </row>
    <row r="117" spans="1:11">
      <c r="A117" s="1" t="s">
        <v>137</v>
      </c>
      <c r="B117" s="1">
        <v>43</v>
      </c>
      <c r="C117" s="1">
        <v>41</v>
      </c>
      <c r="D117" s="1">
        <v>78</v>
      </c>
      <c r="E117" s="1">
        <v>94.31</v>
      </c>
      <c r="F117" s="1" t="s">
        <v>15</v>
      </c>
      <c r="G117" s="1" t="s">
        <v>22</v>
      </c>
      <c r="H117" s="1" t="s">
        <v>12</v>
      </c>
      <c r="I117" s="1" t="s">
        <v>20</v>
      </c>
      <c r="J117" s="8">
        <f t="shared" si="2"/>
        <v>162</v>
      </c>
      <c r="K117" s="8">
        <f t="shared" si="3"/>
        <v>54</v>
      </c>
    </row>
    <row r="118" spans="1:11">
      <c r="A118" s="1" t="s">
        <v>138</v>
      </c>
      <c r="B118" s="1">
        <v>51</v>
      </c>
      <c r="C118" s="1">
        <v>74</v>
      </c>
      <c r="D118" s="1">
        <v>55</v>
      </c>
      <c r="E118" s="1">
        <v>96.9</v>
      </c>
      <c r="F118" s="1" t="s">
        <v>15</v>
      </c>
      <c r="G118" s="1" t="s">
        <v>18</v>
      </c>
      <c r="H118" s="1" t="s">
        <v>12</v>
      </c>
      <c r="I118" s="1" t="s">
        <v>35</v>
      </c>
      <c r="J118" s="8">
        <f t="shared" si="2"/>
        <v>180</v>
      </c>
      <c r="K118" s="8">
        <f t="shared" si="3"/>
        <v>60</v>
      </c>
    </row>
    <row r="119" spans="1:11">
      <c r="A119" s="1" t="s">
        <v>139</v>
      </c>
      <c r="B119" s="1">
        <v>43</v>
      </c>
      <c r="C119" s="1">
        <v>82</v>
      </c>
      <c r="D119" s="1">
        <v>50</v>
      </c>
      <c r="E119" s="1">
        <v>72.14</v>
      </c>
      <c r="F119" s="1" t="s">
        <v>10</v>
      </c>
      <c r="G119" s="1" t="s">
        <v>11</v>
      </c>
      <c r="H119" s="1" t="s">
        <v>16</v>
      </c>
      <c r="I119" s="1" t="s">
        <v>13</v>
      </c>
      <c r="J119" s="8">
        <f t="shared" si="2"/>
        <v>175</v>
      </c>
      <c r="K119" s="8">
        <f t="shared" si="3"/>
        <v>58.333333333333336</v>
      </c>
    </row>
    <row r="120" spans="1:11">
      <c r="A120" s="1" t="s">
        <v>140</v>
      </c>
      <c r="B120" s="1">
        <v>91</v>
      </c>
      <c r="C120" s="1">
        <v>58</v>
      </c>
      <c r="D120" s="1">
        <v>64</v>
      </c>
      <c r="E120" s="1">
        <v>73.59</v>
      </c>
      <c r="F120" s="1" t="s">
        <v>15</v>
      </c>
      <c r="G120" s="1" t="s">
        <v>11</v>
      </c>
      <c r="H120" s="1" t="s">
        <v>19</v>
      </c>
      <c r="I120" s="1" t="s">
        <v>20</v>
      </c>
      <c r="J120" s="8">
        <f t="shared" si="2"/>
        <v>213</v>
      </c>
      <c r="K120" s="8">
        <f t="shared" si="3"/>
        <v>71</v>
      </c>
    </row>
    <row r="121" spans="1:11">
      <c r="A121" s="1" t="s">
        <v>141</v>
      </c>
      <c r="B121" s="1">
        <v>96</v>
      </c>
      <c r="C121" s="1">
        <v>79</v>
      </c>
      <c r="D121" s="1">
        <v>72</v>
      </c>
      <c r="E121" s="1">
        <v>83.8</v>
      </c>
      <c r="F121" s="1" t="s">
        <v>10</v>
      </c>
      <c r="G121" s="1" t="s">
        <v>22</v>
      </c>
      <c r="H121" s="1" t="s">
        <v>16</v>
      </c>
      <c r="I121" s="1" t="s">
        <v>13</v>
      </c>
      <c r="J121" s="8">
        <f t="shared" si="2"/>
        <v>247</v>
      </c>
      <c r="K121" s="8">
        <f t="shared" si="3"/>
        <v>82.333333333333329</v>
      </c>
    </row>
    <row r="122" spans="1:11">
      <c r="A122" s="1" t="s">
        <v>142</v>
      </c>
      <c r="B122" s="1">
        <v>70</v>
      </c>
      <c r="C122" s="1">
        <v>66</v>
      </c>
      <c r="D122" s="1">
        <v>100</v>
      </c>
      <c r="E122" s="1">
        <v>77.650000000000006</v>
      </c>
      <c r="F122" s="1" t="s">
        <v>15</v>
      </c>
      <c r="G122" s="1" t="s">
        <v>11</v>
      </c>
      <c r="H122" s="1" t="s">
        <v>19</v>
      </c>
      <c r="I122" s="1" t="s">
        <v>13</v>
      </c>
      <c r="J122" s="8">
        <f t="shared" si="2"/>
        <v>236</v>
      </c>
      <c r="K122" s="8">
        <f t="shared" si="3"/>
        <v>78.666666666666671</v>
      </c>
    </row>
    <row r="123" spans="1:11">
      <c r="A123" s="1" t="s">
        <v>143</v>
      </c>
      <c r="B123" s="1">
        <v>46</v>
      </c>
      <c r="C123" s="1">
        <v>79</v>
      </c>
      <c r="D123" s="1">
        <v>93</v>
      </c>
      <c r="E123" s="1">
        <v>97.31</v>
      </c>
      <c r="F123" s="1" t="s">
        <v>15</v>
      </c>
      <c r="G123" s="1" t="s">
        <v>22</v>
      </c>
      <c r="H123" s="1" t="s">
        <v>19</v>
      </c>
      <c r="I123" s="1" t="s">
        <v>35</v>
      </c>
      <c r="J123" s="8">
        <f t="shared" si="2"/>
        <v>218</v>
      </c>
      <c r="K123" s="8">
        <f t="shared" si="3"/>
        <v>72.666666666666671</v>
      </c>
    </row>
    <row r="124" spans="1:11">
      <c r="A124" s="1" t="s">
        <v>144</v>
      </c>
      <c r="B124" s="1">
        <v>49</v>
      </c>
      <c r="C124" s="1">
        <v>75</v>
      </c>
      <c r="D124" s="1">
        <v>91</v>
      </c>
      <c r="E124" s="1">
        <v>75.900000000000006</v>
      </c>
      <c r="F124" s="1" t="s">
        <v>15</v>
      </c>
      <c r="G124" s="1" t="s">
        <v>11</v>
      </c>
      <c r="H124" s="1" t="s">
        <v>12</v>
      </c>
      <c r="I124" s="1" t="s">
        <v>20</v>
      </c>
      <c r="J124" s="8">
        <f t="shared" si="2"/>
        <v>215</v>
      </c>
      <c r="K124" s="8">
        <f t="shared" si="3"/>
        <v>71.666666666666671</v>
      </c>
    </row>
    <row r="125" spans="1:11">
      <c r="A125" s="1" t="s">
        <v>145</v>
      </c>
      <c r="B125" s="1">
        <v>63</v>
      </c>
      <c r="C125" s="1">
        <v>98</v>
      </c>
      <c r="D125" s="1">
        <v>90</v>
      </c>
      <c r="E125" s="1">
        <v>79.11</v>
      </c>
      <c r="F125" s="1" t="s">
        <v>15</v>
      </c>
      <c r="G125" s="1" t="s">
        <v>30</v>
      </c>
      <c r="H125" s="1" t="s">
        <v>16</v>
      </c>
      <c r="I125" s="1" t="s">
        <v>35</v>
      </c>
      <c r="J125" s="8">
        <f t="shared" si="2"/>
        <v>251</v>
      </c>
      <c r="K125" s="8">
        <f t="shared" si="3"/>
        <v>83.666666666666671</v>
      </c>
    </row>
    <row r="126" spans="1:11">
      <c r="A126" s="1" t="s">
        <v>146</v>
      </c>
      <c r="B126" s="1">
        <v>54</v>
      </c>
      <c r="C126" s="1">
        <v>78</v>
      </c>
      <c r="D126" s="1">
        <v>87</v>
      </c>
      <c r="E126" s="1">
        <v>84.69</v>
      </c>
      <c r="F126" s="1" t="s">
        <v>10</v>
      </c>
      <c r="G126" s="1" t="s">
        <v>22</v>
      </c>
      <c r="H126" s="1" t="s">
        <v>19</v>
      </c>
      <c r="I126" s="1" t="s">
        <v>25</v>
      </c>
      <c r="J126" s="8">
        <f t="shared" si="2"/>
        <v>219</v>
      </c>
      <c r="K126" s="8">
        <f t="shared" si="3"/>
        <v>73</v>
      </c>
    </row>
    <row r="127" spans="1:11">
      <c r="A127" s="1" t="s">
        <v>147</v>
      </c>
      <c r="B127" s="1">
        <v>78</v>
      </c>
      <c r="C127" s="1">
        <v>41</v>
      </c>
      <c r="D127" s="1">
        <v>60</v>
      </c>
      <c r="E127" s="1">
        <v>76.19</v>
      </c>
      <c r="F127" s="1" t="s">
        <v>10</v>
      </c>
      <c r="G127" s="1" t="s">
        <v>18</v>
      </c>
      <c r="H127" s="1" t="s">
        <v>19</v>
      </c>
      <c r="I127" s="1" t="s">
        <v>20</v>
      </c>
      <c r="J127" s="8">
        <f t="shared" si="2"/>
        <v>179</v>
      </c>
      <c r="K127" s="8">
        <f t="shared" si="3"/>
        <v>59.666666666666664</v>
      </c>
    </row>
    <row r="128" spans="1:11">
      <c r="A128" s="1" t="s">
        <v>148</v>
      </c>
      <c r="B128" s="1">
        <v>59</v>
      </c>
      <c r="C128" s="1">
        <v>80</v>
      </c>
      <c r="D128" s="1">
        <v>91</v>
      </c>
      <c r="E128" s="1">
        <v>99.7</v>
      </c>
      <c r="F128" s="1" t="s">
        <v>15</v>
      </c>
      <c r="G128" s="1" t="s">
        <v>30</v>
      </c>
      <c r="H128" s="1" t="s">
        <v>16</v>
      </c>
      <c r="I128" s="1" t="s">
        <v>25</v>
      </c>
      <c r="J128" s="8">
        <f t="shared" si="2"/>
        <v>230</v>
      </c>
      <c r="K128" s="8">
        <f t="shared" si="3"/>
        <v>76.666666666666671</v>
      </c>
    </row>
    <row r="129" spans="1:11">
      <c r="A129" s="1" t="s">
        <v>149</v>
      </c>
      <c r="B129" s="1">
        <v>97</v>
      </c>
      <c r="C129" s="1">
        <v>92</v>
      </c>
      <c r="D129" s="1">
        <v>91</v>
      </c>
      <c r="E129" s="1">
        <v>63.95</v>
      </c>
      <c r="F129" s="1" t="s">
        <v>10</v>
      </c>
      <c r="G129" s="1" t="s">
        <v>30</v>
      </c>
      <c r="H129" s="1" t="s">
        <v>19</v>
      </c>
      <c r="I129" s="1" t="s">
        <v>35</v>
      </c>
      <c r="J129" s="8">
        <f t="shared" si="2"/>
        <v>280</v>
      </c>
      <c r="K129" s="8">
        <f t="shared" si="3"/>
        <v>93.333333333333329</v>
      </c>
    </row>
    <row r="130" spans="1:11">
      <c r="A130" s="1" t="s">
        <v>150</v>
      </c>
      <c r="B130" s="1">
        <v>46</v>
      </c>
      <c r="C130" s="1">
        <v>57</v>
      </c>
      <c r="D130" s="1">
        <v>49</v>
      </c>
      <c r="E130" s="1">
        <v>68.819999999999993</v>
      </c>
      <c r="F130" s="1" t="s">
        <v>10</v>
      </c>
      <c r="G130" s="1" t="s">
        <v>18</v>
      </c>
      <c r="H130" s="1" t="s">
        <v>12</v>
      </c>
      <c r="I130" s="1" t="s">
        <v>25</v>
      </c>
      <c r="J130" s="8">
        <f t="shared" ref="J130:J193" si="4">SUM(B130, C130, D130)</f>
        <v>152</v>
      </c>
      <c r="K130" s="8">
        <f t="shared" ref="K130:K193" si="5">J130/3</f>
        <v>50.666666666666664</v>
      </c>
    </row>
    <row r="131" spans="1:11">
      <c r="A131" s="1" t="s">
        <v>151</v>
      </c>
      <c r="B131" s="1">
        <v>52</v>
      </c>
      <c r="C131" s="1">
        <v>85</v>
      </c>
      <c r="D131" s="1">
        <v>95</v>
      </c>
      <c r="E131" s="1">
        <v>72.91</v>
      </c>
      <c r="F131" s="1" t="s">
        <v>15</v>
      </c>
      <c r="G131" s="1" t="s">
        <v>11</v>
      </c>
      <c r="H131" s="1" t="s">
        <v>12</v>
      </c>
      <c r="I131" s="1" t="s">
        <v>13</v>
      </c>
      <c r="J131" s="8">
        <f t="shared" si="4"/>
        <v>232</v>
      </c>
      <c r="K131" s="8">
        <f t="shared" si="5"/>
        <v>77.333333333333329</v>
      </c>
    </row>
    <row r="132" spans="1:11">
      <c r="A132" s="1" t="s">
        <v>152</v>
      </c>
      <c r="B132" s="1">
        <v>94</v>
      </c>
      <c r="C132" s="1">
        <v>62</v>
      </c>
      <c r="D132" s="1">
        <v>89</v>
      </c>
      <c r="E132" s="1">
        <v>65.91</v>
      </c>
      <c r="F132" s="1" t="s">
        <v>10</v>
      </c>
      <c r="G132" s="1" t="s">
        <v>30</v>
      </c>
      <c r="H132" s="1" t="s">
        <v>16</v>
      </c>
      <c r="I132" s="1" t="s">
        <v>35</v>
      </c>
      <c r="J132" s="8">
        <f t="shared" si="4"/>
        <v>245</v>
      </c>
      <c r="K132" s="8">
        <f t="shared" si="5"/>
        <v>81.666666666666671</v>
      </c>
    </row>
    <row r="133" spans="1:11">
      <c r="A133" s="1" t="s">
        <v>153</v>
      </c>
      <c r="B133" s="1">
        <v>67</v>
      </c>
      <c r="C133" s="1">
        <v>93</v>
      </c>
      <c r="D133" s="1">
        <v>48</v>
      </c>
      <c r="E133" s="1">
        <v>71.37</v>
      </c>
      <c r="F133" s="1" t="s">
        <v>15</v>
      </c>
      <c r="G133" s="1" t="s">
        <v>22</v>
      </c>
      <c r="H133" s="1" t="s">
        <v>16</v>
      </c>
      <c r="I133" s="1" t="s">
        <v>25</v>
      </c>
      <c r="J133" s="8">
        <f t="shared" si="4"/>
        <v>208</v>
      </c>
      <c r="K133" s="8">
        <f t="shared" si="5"/>
        <v>69.333333333333329</v>
      </c>
    </row>
    <row r="134" spans="1:11">
      <c r="A134" s="1" t="s">
        <v>154</v>
      </c>
      <c r="B134" s="1">
        <v>78</v>
      </c>
      <c r="C134" s="1">
        <v>65</v>
      </c>
      <c r="D134" s="1">
        <v>40</v>
      </c>
      <c r="E134" s="1">
        <v>91.17</v>
      </c>
      <c r="F134" s="1" t="s">
        <v>10</v>
      </c>
      <c r="G134" s="1" t="s">
        <v>22</v>
      </c>
      <c r="H134" s="1" t="s">
        <v>16</v>
      </c>
      <c r="I134" s="1" t="s">
        <v>25</v>
      </c>
      <c r="J134" s="8">
        <f t="shared" si="4"/>
        <v>183</v>
      </c>
      <c r="K134" s="8">
        <f t="shared" si="5"/>
        <v>61</v>
      </c>
    </row>
    <row r="135" spans="1:11">
      <c r="A135" s="1" t="s">
        <v>155</v>
      </c>
      <c r="B135" s="1">
        <v>57</v>
      </c>
      <c r="C135" s="1">
        <v>50</v>
      </c>
      <c r="D135" s="1">
        <v>73</v>
      </c>
      <c r="E135" s="1">
        <v>80.92</v>
      </c>
      <c r="F135" s="1" t="s">
        <v>10</v>
      </c>
      <c r="G135" s="1" t="s">
        <v>18</v>
      </c>
      <c r="H135" s="1" t="s">
        <v>16</v>
      </c>
      <c r="I135" s="1" t="s">
        <v>25</v>
      </c>
      <c r="J135" s="8">
        <f t="shared" si="4"/>
        <v>180</v>
      </c>
      <c r="K135" s="8">
        <f t="shared" si="5"/>
        <v>60</v>
      </c>
    </row>
    <row r="136" spans="1:11">
      <c r="A136" s="1" t="s">
        <v>156</v>
      </c>
      <c r="B136" s="1">
        <v>86</v>
      </c>
      <c r="C136" s="1">
        <v>87</v>
      </c>
      <c r="D136" s="1">
        <v>70</v>
      </c>
      <c r="E136" s="1">
        <v>61.36</v>
      </c>
      <c r="F136" s="1" t="s">
        <v>15</v>
      </c>
      <c r="G136" s="1" t="s">
        <v>22</v>
      </c>
      <c r="H136" s="1" t="s">
        <v>12</v>
      </c>
      <c r="I136" s="1" t="s">
        <v>25</v>
      </c>
      <c r="J136" s="8">
        <f t="shared" si="4"/>
        <v>243</v>
      </c>
      <c r="K136" s="8">
        <f t="shared" si="5"/>
        <v>81</v>
      </c>
    </row>
    <row r="137" spans="1:11">
      <c r="A137" s="1" t="s">
        <v>157</v>
      </c>
      <c r="B137" s="1">
        <v>50</v>
      </c>
      <c r="C137" s="1">
        <v>40</v>
      </c>
      <c r="D137" s="1">
        <v>60</v>
      </c>
      <c r="E137" s="1">
        <v>99.3</v>
      </c>
      <c r="F137" s="1" t="s">
        <v>10</v>
      </c>
      <c r="G137" s="1" t="s">
        <v>11</v>
      </c>
      <c r="H137" s="1" t="s">
        <v>12</v>
      </c>
      <c r="I137" s="1" t="s">
        <v>20</v>
      </c>
      <c r="J137" s="8">
        <f t="shared" si="4"/>
        <v>150</v>
      </c>
      <c r="K137" s="8">
        <f t="shared" si="5"/>
        <v>50</v>
      </c>
    </row>
    <row r="138" spans="1:11">
      <c r="A138" s="1" t="s">
        <v>158</v>
      </c>
      <c r="B138" s="1">
        <v>75</v>
      </c>
      <c r="C138" s="1">
        <v>75</v>
      </c>
      <c r="D138" s="1">
        <v>63</v>
      </c>
      <c r="E138" s="1">
        <v>84.64</v>
      </c>
      <c r="F138" s="1" t="s">
        <v>10</v>
      </c>
      <c r="G138" s="1" t="s">
        <v>30</v>
      </c>
      <c r="H138" s="1" t="s">
        <v>12</v>
      </c>
      <c r="I138" s="1" t="s">
        <v>25</v>
      </c>
      <c r="J138" s="8">
        <f t="shared" si="4"/>
        <v>213</v>
      </c>
      <c r="K138" s="8">
        <f t="shared" si="5"/>
        <v>71</v>
      </c>
    </row>
    <row r="139" spans="1:11">
      <c r="A139" s="1" t="s">
        <v>159</v>
      </c>
      <c r="B139" s="1">
        <v>92</v>
      </c>
      <c r="C139" s="1">
        <v>89</v>
      </c>
      <c r="D139" s="1">
        <v>58</v>
      </c>
      <c r="E139" s="1">
        <v>62.36</v>
      </c>
      <c r="F139" s="1" t="s">
        <v>10</v>
      </c>
      <c r="G139" s="1" t="s">
        <v>18</v>
      </c>
      <c r="H139" s="1" t="s">
        <v>19</v>
      </c>
      <c r="I139" s="1" t="s">
        <v>25</v>
      </c>
      <c r="J139" s="8">
        <f t="shared" si="4"/>
        <v>239</v>
      </c>
      <c r="K139" s="8">
        <f t="shared" si="5"/>
        <v>79.666666666666671</v>
      </c>
    </row>
    <row r="140" spans="1:11">
      <c r="A140" s="1" t="s">
        <v>160</v>
      </c>
      <c r="B140" s="1">
        <v>75</v>
      </c>
      <c r="C140" s="1">
        <v>59</v>
      </c>
      <c r="D140" s="1">
        <v>100</v>
      </c>
      <c r="E140" s="1">
        <v>86.45</v>
      </c>
      <c r="F140" s="1" t="s">
        <v>15</v>
      </c>
      <c r="G140" s="1" t="s">
        <v>18</v>
      </c>
      <c r="H140" s="1" t="s">
        <v>19</v>
      </c>
      <c r="I140" s="1" t="s">
        <v>20</v>
      </c>
      <c r="J140" s="8">
        <f t="shared" si="4"/>
        <v>234</v>
      </c>
      <c r="K140" s="8">
        <f t="shared" si="5"/>
        <v>78</v>
      </c>
    </row>
    <row r="141" spans="1:11">
      <c r="A141" s="1" t="s">
        <v>161</v>
      </c>
      <c r="B141" s="1">
        <v>41</v>
      </c>
      <c r="C141" s="1">
        <v>70</v>
      </c>
      <c r="D141" s="1">
        <v>87</v>
      </c>
      <c r="E141" s="1">
        <v>75.13</v>
      </c>
      <c r="F141" s="1" t="s">
        <v>15</v>
      </c>
      <c r="G141" s="1" t="s">
        <v>18</v>
      </c>
      <c r="H141" s="1" t="s">
        <v>19</v>
      </c>
      <c r="I141" s="1" t="s">
        <v>25</v>
      </c>
      <c r="J141" s="8">
        <f t="shared" si="4"/>
        <v>198</v>
      </c>
      <c r="K141" s="8">
        <f t="shared" si="5"/>
        <v>66</v>
      </c>
    </row>
    <row r="142" spans="1:11">
      <c r="A142" s="1" t="s">
        <v>162</v>
      </c>
      <c r="B142" s="1">
        <v>87</v>
      </c>
      <c r="C142" s="1">
        <v>47</v>
      </c>
      <c r="D142" s="1">
        <v>99</v>
      </c>
      <c r="E142" s="1">
        <v>65.430000000000007</v>
      </c>
      <c r="F142" s="1" t="s">
        <v>10</v>
      </c>
      <c r="G142" s="1" t="s">
        <v>11</v>
      </c>
      <c r="H142" s="1" t="s">
        <v>12</v>
      </c>
      <c r="I142" s="1" t="s">
        <v>25</v>
      </c>
      <c r="J142" s="8">
        <f t="shared" si="4"/>
        <v>233</v>
      </c>
      <c r="K142" s="8">
        <f t="shared" si="5"/>
        <v>77.666666666666671</v>
      </c>
    </row>
    <row r="143" spans="1:11">
      <c r="A143" s="1" t="s">
        <v>163</v>
      </c>
      <c r="B143" s="1">
        <v>85</v>
      </c>
      <c r="C143" s="1">
        <v>79</v>
      </c>
      <c r="D143" s="1">
        <v>99</v>
      </c>
      <c r="E143" s="1">
        <v>82.55</v>
      </c>
      <c r="F143" s="1" t="s">
        <v>15</v>
      </c>
      <c r="G143" s="1" t="s">
        <v>22</v>
      </c>
      <c r="H143" s="1" t="s">
        <v>16</v>
      </c>
      <c r="I143" s="1" t="s">
        <v>25</v>
      </c>
      <c r="J143" s="8">
        <f t="shared" si="4"/>
        <v>263</v>
      </c>
      <c r="K143" s="8">
        <f t="shared" si="5"/>
        <v>87.666666666666671</v>
      </c>
    </row>
    <row r="144" spans="1:11">
      <c r="A144" s="1" t="s">
        <v>164</v>
      </c>
      <c r="B144" s="1">
        <v>56</v>
      </c>
      <c r="C144" s="1">
        <v>63</v>
      </c>
      <c r="D144" s="1">
        <v>60</v>
      </c>
      <c r="E144" s="1">
        <v>89.08</v>
      </c>
      <c r="F144" s="1" t="s">
        <v>10</v>
      </c>
      <c r="G144" s="1" t="s">
        <v>22</v>
      </c>
      <c r="H144" s="1" t="s">
        <v>16</v>
      </c>
      <c r="I144" s="1" t="s">
        <v>20</v>
      </c>
      <c r="J144" s="8">
        <f t="shared" si="4"/>
        <v>179</v>
      </c>
      <c r="K144" s="8">
        <f t="shared" si="5"/>
        <v>59.666666666666664</v>
      </c>
    </row>
    <row r="145" spans="1:11">
      <c r="A145" s="1" t="s">
        <v>165</v>
      </c>
      <c r="B145" s="1">
        <v>45</v>
      </c>
      <c r="C145" s="1">
        <v>93</v>
      </c>
      <c r="D145" s="1">
        <v>64</v>
      </c>
      <c r="E145" s="1">
        <v>86.85</v>
      </c>
      <c r="F145" s="1" t="s">
        <v>15</v>
      </c>
      <c r="G145" s="1" t="s">
        <v>11</v>
      </c>
      <c r="H145" s="1" t="s">
        <v>19</v>
      </c>
      <c r="I145" s="1" t="s">
        <v>13</v>
      </c>
      <c r="J145" s="8">
        <f t="shared" si="4"/>
        <v>202</v>
      </c>
      <c r="K145" s="8">
        <f t="shared" si="5"/>
        <v>67.333333333333329</v>
      </c>
    </row>
    <row r="146" spans="1:11">
      <c r="A146" s="1" t="s">
        <v>166</v>
      </c>
      <c r="B146" s="1">
        <v>80</v>
      </c>
      <c r="C146" s="1">
        <v>59</v>
      </c>
      <c r="D146" s="1">
        <v>59</v>
      </c>
      <c r="E146" s="1">
        <v>69.900000000000006</v>
      </c>
      <c r="F146" s="1" t="s">
        <v>10</v>
      </c>
      <c r="G146" s="1" t="s">
        <v>22</v>
      </c>
      <c r="H146" s="1" t="s">
        <v>19</v>
      </c>
      <c r="I146" s="1" t="s">
        <v>13</v>
      </c>
      <c r="J146" s="8">
        <f t="shared" si="4"/>
        <v>198</v>
      </c>
      <c r="K146" s="8">
        <f t="shared" si="5"/>
        <v>66</v>
      </c>
    </row>
    <row r="147" spans="1:11">
      <c r="A147" s="1" t="s">
        <v>167</v>
      </c>
      <c r="B147" s="1">
        <v>85</v>
      </c>
      <c r="C147" s="1">
        <v>94</v>
      </c>
      <c r="D147" s="1">
        <v>92</v>
      </c>
      <c r="E147" s="1">
        <v>80.989999999999995</v>
      </c>
      <c r="F147" s="1" t="s">
        <v>10</v>
      </c>
      <c r="G147" s="1" t="s">
        <v>30</v>
      </c>
      <c r="H147" s="1" t="s">
        <v>16</v>
      </c>
      <c r="I147" s="1" t="s">
        <v>20</v>
      </c>
      <c r="J147" s="8">
        <f t="shared" si="4"/>
        <v>271</v>
      </c>
      <c r="K147" s="8">
        <f t="shared" si="5"/>
        <v>90.333333333333329</v>
      </c>
    </row>
    <row r="148" spans="1:11">
      <c r="A148" s="1" t="s">
        <v>168</v>
      </c>
      <c r="B148" s="1">
        <v>62</v>
      </c>
      <c r="C148" s="1">
        <v>54</v>
      </c>
      <c r="D148" s="1">
        <v>65</v>
      </c>
      <c r="E148" s="1">
        <v>81.510000000000005</v>
      </c>
      <c r="F148" s="1" t="s">
        <v>15</v>
      </c>
      <c r="G148" s="1" t="s">
        <v>11</v>
      </c>
      <c r="H148" s="1" t="s">
        <v>19</v>
      </c>
      <c r="I148" s="1" t="s">
        <v>13</v>
      </c>
      <c r="J148" s="8">
        <f t="shared" si="4"/>
        <v>181</v>
      </c>
      <c r="K148" s="8">
        <f t="shared" si="5"/>
        <v>60.333333333333336</v>
      </c>
    </row>
    <row r="149" spans="1:11">
      <c r="A149" s="1" t="s">
        <v>169</v>
      </c>
      <c r="B149" s="1">
        <v>86</v>
      </c>
      <c r="C149" s="1">
        <v>69</v>
      </c>
      <c r="D149" s="1">
        <v>46</v>
      </c>
      <c r="E149" s="1">
        <v>88.67</v>
      </c>
      <c r="F149" s="1" t="s">
        <v>10</v>
      </c>
      <c r="G149" s="1" t="s">
        <v>18</v>
      </c>
      <c r="H149" s="1" t="s">
        <v>19</v>
      </c>
      <c r="I149" s="1" t="s">
        <v>13</v>
      </c>
      <c r="J149" s="8">
        <f t="shared" si="4"/>
        <v>201</v>
      </c>
      <c r="K149" s="8">
        <f t="shared" si="5"/>
        <v>67</v>
      </c>
    </row>
    <row r="150" spans="1:11">
      <c r="A150" s="1" t="s">
        <v>170</v>
      </c>
      <c r="B150" s="1">
        <v>55</v>
      </c>
      <c r="C150" s="1">
        <v>59</v>
      </c>
      <c r="D150" s="1">
        <v>42</v>
      </c>
      <c r="E150" s="1">
        <v>74.39</v>
      </c>
      <c r="F150" s="1" t="s">
        <v>10</v>
      </c>
      <c r="G150" s="1" t="s">
        <v>11</v>
      </c>
      <c r="H150" s="1" t="s">
        <v>12</v>
      </c>
      <c r="I150" s="1" t="s">
        <v>20</v>
      </c>
      <c r="J150" s="8">
        <f t="shared" si="4"/>
        <v>156</v>
      </c>
      <c r="K150" s="8">
        <f t="shared" si="5"/>
        <v>52</v>
      </c>
    </row>
    <row r="151" spans="1:11">
      <c r="A151" s="1" t="s">
        <v>171</v>
      </c>
      <c r="B151" s="1">
        <v>99</v>
      </c>
      <c r="C151" s="1">
        <v>77</v>
      </c>
      <c r="D151" s="1">
        <v>79</v>
      </c>
      <c r="E151" s="1">
        <v>91.91</v>
      </c>
      <c r="F151" s="1" t="s">
        <v>10</v>
      </c>
      <c r="G151" s="1" t="s">
        <v>30</v>
      </c>
      <c r="H151" s="1" t="s">
        <v>19</v>
      </c>
      <c r="I151" s="1" t="s">
        <v>35</v>
      </c>
      <c r="J151" s="8">
        <f t="shared" si="4"/>
        <v>255</v>
      </c>
      <c r="K151" s="8">
        <f t="shared" si="5"/>
        <v>85</v>
      </c>
    </row>
    <row r="152" spans="1:11">
      <c r="A152" s="1" t="s">
        <v>172</v>
      </c>
      <c r="B152" s="1">
        <v>80</v>
      </c>
      <c r="C152" s="1">
        <v>41</v>
      </c>
      <c r="D152" s="1">
        <v>95</v>
      </c>
      <c r="E152" s="1">
        <v>85.12</v>
      </c>
      <c r="F152" s="1" t="s">
        <v>15</v>
      </c>
      <c r="G152" s="1" t="s">
        <v>18</v>
      </c>
      <c r="H152" s="1" t="s">
        <v>12</v>
      </c>
      <c r="I152" s="1" t="s">
        <v>20</v>
      </c>
      <c r="J152" s="8">
        <f t="shared" si="4"/>
        <v>216</v>
      </c>
      <c r="K152" s="8">
        <f t="shared" si="5"/>
        <v>72</v>
      </c>
    </row>
    <row r="153" spans="1:11">
      <c r="A153" s="1" t="s">
        <v>173</v>
      </c>
      <c r="B153" s="1">
        <v>65</v>
      </c>
      <c r="C153" s="1">
        <v>45</v>
      </c>
      <c r="D153" s="1">
        <v>87</v>
      </c>
      <c r="E153" s="1">
        <v>61.53</v>
      </c>
      <c r="F153" s="1" t="s">
        <v>15</v>
      </c>
      <c r="G153" s="1" t="s">
        <v>18</v>
      </c>
      <c r="H153" s="1" t="s">
        <v>12</v>
      </c>
      <c r="I153" s="1" t="s">
        <v>13</v>
      </c>
      <c r="J153" s="8">
        <f t="shared" si="4"/>
        <v>197</v>
      </c>
      <c r="K153" s="8">
        <f t="shared" si="5"/>
        <v>65.666666666666671</v>
      </c>
    </row>
    <row r="154" spans="1:11">
      <c r="A154" s="1" t="s">
        <v>174</v>
      </c>
      <c r="B154" s="1">
        <v>85</v>
      </c>
      <c r="C154" s="1">
        <v>81</v>
      </c>
      <c r="D154" s="1">
        <v>47</v>
      </c>
      <c r="E154" s="1">
        <v>81.86</v>
      </c>
      <c r="F154" s="1" t="s">
        <v>10</v>
      </c>
      <c r="G154" s="1" t="s">
        <v>22</v>
      </c>
      <c r="H154" s="1" t="s">
        <v>19</v>
      </c>
      <c r="I154" s="1" t="s">
        <v>13</v>
      </c>
      <c r="J154" s="8">
        <f t="shared" si="4"/>
        <v>213</v>
      </c>
      <c r="K154" s="8">
        <f t="shared" si="5"/>
        <v>71</v>
      </c>
    </row>
    <row r="155" spans="1:11">
      <c r="A155" s="1" t="s">
        <v>175</v>
      </c>
      <c r="B155" s="1">
        <v>89</v>
      </c>
      <c r="C155" s="1">
        <v>57</v>
      </c>
      <c r="D155" s="1">
        <v>92</v>
      </c>
      <c r="E155" s="1">
        <v>94.48</v>
      </c>
      <c r="F155" s="1" t="s">
        <v>10</v>
      </c>
      <c r="G155" s="1" t="s">
        <v>22</v>
      </c>
      <c r="H155" s="1" t="s">
        <v>12</v>
      </c>
      <c r="I155" s="1" t="s">
        <v>25</v>
      </c>
      <c r="J155" s="8">
        <f t="shared" si="4"/>
        <v>238</v>
      </c>
      <c r="K155" s="8">
        <f t="shared" si="5"/>
        <v>79.333333333333329</v>
      </c>
    </row>
    <row r="156" spans="1:11">
      <c r="A156" s="1" t="s">
        <v>176</v>
      </c>
      <c r="B156" s="1">
        <v>40</v>
      </c>
      <c r="C156" s="1">
        <v>75</v>
      </c>
      <c r="D156" s="1">
        <v>69</v>
      </c>
      <c r="E156" s="1">
        <v>82.7</v>
      </c>
      <c r="F156" s="1" t="s">
        <v>15</v>
      </c>
      <c r="G156" s="1" t="s">
        <v>22</v>
      </c>
      <c r="H156" s="1" t="s">
        <v>12</v>
      </c>
      <c r="I156" s="1" t="s">
        <v>35</v>
      </c>
      <c r="J156" s="8">
        <f t="shared" si="4"/>
        <v>184</v>
      </c>
      <c r="K156" s="8">
        <f t="shared" si="5"/>
        <v>61.333333333333336</v>
      </c>
    </row>
    <row r="157" spans="1:11">
      <c r="A157" s="1" t="s">
        <v>177</v>
      </c>
      <c r="B157" s="1">
        <v>75</v>
      </c>
      <c r="C157" s="1">
        <v>53</v>
      </c>
      <c r="D157" s="1">
        <v>50</v>
      </c>
      <c r="E157" s="1">
        <v>67.03</v>
      </c>
      <c r="F157" s="1" t="s">
        <v>10</v>
      </c>
      <c r="G157" s="1" t="s">
        <v>22</v>
      </c>
      <c r="H157" s="1" t="s">
        <v>12</v>
      </c>
      <c r="I157" s="1" t="s">
        <v>13</v>
      </c>
      <c r="J157" s="8">
        <f t="shared" si="4"/>
        <v>178</v>
      </c>
      <c r="K157" s="8">
        <f t="shared" si="5"/>
        <v>59.333333333333336</v>
      </c>
    </row>
    <row r="158" spans="1:11">
      <c r="A158" s="1" t="s">
        <v>178</v>
      </c>
      <c r="B158" s="1">
        <v>69</v>
      </c>
      <c r="C158" s="1">
        <v>65</v>
      </c>
      <c r="D158" s="1">
        <v>47</v>
      </c>
      <c r="E158" s="1">
        <v>80.42</v>
      </c>
      <c r="F158" s="1" t="s">
        <v>10</v>
      </c>
      <c r="G158" s="1" t="s">
        <v>30</v>
      </c>
      <c r="H158" s="1" t="s">
        <v>16</v>
      </c>
      <c r="I158" s="1" t="s">
        <v>25</v>
      </c>
      <c r="J158" s="8">
        <f t="shared" si="4"/>
        <v>181</v>
      </c>
      <c r="K158" s="8">
        <f t="shared" si="5"/>
        <v>60.333333333333336</v>
      </c>
    </row>
    <row r="159" spans="1:11">
      <c r="A159" s="1" t="s">
        <v>179</v>
      </c>
      <c r="B159" s="1">
        <v>41</v>
      </c>
      <c r="C159" s="1">
        <v>73</v>
      </c>
      <c r="D159" s="1">
        <v>96</v>
      </c>
      <c r="E159" s="1">
        <v>90.28</v>
      </c>
      <c r="F159" s="1" t="s">
        <v>15</v>
      </c>
      <c r="G159" s="1" t="s">
        <v>30</v>
      </c>
      <c r="H159" s="1" t="s">
        <v>19</v>
      </c>
      <c r="I159" s="1" t="s">
        <v>35</v>
      </c>
      <c r="J159" s="8">
        <f t="shared" si="4"/>
        <v>210</v>
      </c>
      <c r="K159" s="8">
        <f t="shared" si="5"/>
        <v>70</v>
      </c>
    </row>
    <row r="160" spans="1:11">
      <c r="A160" s="1" t="s">
        <v>180</v>
      </c>
      <c r="B160" s="1">
        <v>59</v>
      </c>
      <c r="C160" s="1">
        <v>93</v>
      </c>
      <c r="D160" s="1">
        <v>76</v>
      </c>
      <c r="E160" s="1">
        <v>64.400000000000006</v>
      </c>
      <c r="F160" s="1" t="s">
        <v>10</v>
      </c>
      <c r="G160" s="1" t="s">
        <v>30</v>
      </c>
      <c r="H160" s="1" t="s">
        <v>16</v>
      </c>
      <c r="I160" s="1" t="s">
        <v>13</v>
      </c>
      <c r="J160" s="8">
        <f t="shared" si="4"/>
        <v>228</v>
      </c>
      <c r="K160" s="8">
        <f t="shared" si="5"/>
        <v>76</v>
      </c>
    </row>
    <row r="161" spans="1:11">
      <c r="A161" s="1" t="s">
        <v>181</v>
      </c>
      <c r="B161" s="1">
        <v>44</v>
      </c>
      <c r="C161" s="1">
        <v>69</v>
      </c>
      <c r="D161" s="1">
        <v>56</v>
      </c>
      <c r="E161" s="1">
        <v>92.68</v>
      </c>
      <c r="F161" s="1" t="s">
        <v>10</v>
      </c>
      <c r="G161" s="1" t="s">
        <v>22</v>
      </c>
      <c r="H161" s="1" t="s">
        <v>12</v>
      </c>
      <c r="I161" s="1" t="s">
        <v>35</v>
      </c>
      <c r="J161" s="8">
        <f t="shared" si="4"/>
        <v>169</v>
      </c>
      <c r="K161" s="8">
        <f t="shared" si="5"/>
        <v>56.333333333333336</v>
      </c>
    </row>
    <row r="162" spans="1:11">
      <c r="A162" s="1" t="s">
        <v>182</v>
      </c>
      <c r="B162" s="1">
        <v>70</v>
      </c>
      <c r="C162" s="1">
        <v>46</v>
      </c>
      <c r="D162" s="1">
        <v>47</v>
      </c>
      <c r="E162" s="1">
        <v>66.7</v>
      </c>
      <c r="F162" s="1" t="s">
        <v>15</v>
      </c>
      <c r="G162" s="1" t="s">
        <v>22</v>
      </c>
      <c r="H162" s="1" t="s">
        <v>12</v>
      </c>
      <c r="I162" s="1" t="s">
        <v>25</v>
      </c>
      <c r="J162" s="8">
        <f t="shared" si="4"/>
        <v>163</v>
      </c>
      <c r="K162" s="8">
        <f t="shared" si="5"/>
        <v>54.333333333333336</v>
      </c>
    </row>
    <row r="163" spans="1:11">
      <c r="A163" s="1" t="s">
        <v>183</v>
      </c>
      <c r="B163" s="1">
        <v>47</v>
      </c>
      <c r="C163" s="1">
        <v>98</v>
      </c>
      <c r="D163" s="1">
        <v>86</v>
      </c>
      <c r="E163" s="1">
        <v>81.36</v>
      </c>
      <c r="F163" s="1" t="s">
        <v>10</v>
      </c>
      <c r="G163" s="1" t="s">
        <v>22</v>
      </c>
      <c r="H163" s="1" t="s">
        <v>16</v>
      </c>
      <c r="I163" s="1" t="s">
        <v>13</v>
      </c>
      <c r="J163" s="8">
        <f t="shared" si="4"/>
        <v>231</v>
      </c>
      <c r="K163" s="8">
        <f t="shared" si="5"/>
        <v>77</v>
      </c>
    </row>
    <row r="164" spans="1:11">
      <c r="A164" s="1" t="s">
        <v>184</v>
      </c>
      <c r="B164" s="1">
        <v>69</v>
      </c>
      <c r="C164" s="1">
        <v>69</v>
      </c>
      <c r="D164" s="1">
        <v>83</v>
      </c>
      <c r="E164" s="1">
        <v>75.430000000000007</v>
      </c>
      <c r="F164" s="1" t="s">
        <v>10</v>
      </c>
      <c r="G164" s="1" t="s">
        <v>18</v>
      </c>
      <c r="H164" s="1" t="s">
        <v>12</v>
      </c>
      <c r="I164" s="1" t="s">
        <v>20</v>
      </c>
      <c r="J164" s="8">
        <f t="shared" si="4"/>
        <v>221</v>
      </c>
      <c r="K164" s="8">
        <f t="shared" si="5"/>
        <v>73.666666666666671</v>
      </c>
    </row>
    <row r="165" spans="1:11">
      <c r="A165" s="1" t="s">
        <v>185</v>
      </c>
      <c r="B165" s="1">
        <v>78</v>
      </c>
      <c r="C165" s="1">
        <v>57</v>
      </c>
      <c r="D165" s="1">
        <v>69</v>
      </c>
      <c r="E165" s="1">
        <v>69.94</v>
      </c>
      <c r="F165" s="1" t="s">
        <v>10</v>
      </c>
      <c r="G165" s="1" t="s">
        <v>18</v>
      </c>
      <c r="H165" s="1" t="s">
        <v>12</v>
      </c>
      <c r="I165" s="1" t="s">
        <v>20</v>
      </c>
      <c r="J165" s="8">
        <f t="shared" si="4"/>
        <v>204</v>
      </c>
      <c r="K165" s="8">
        <f t="shared" si="5"/>
        <v>68</v>
      </c>
    </row>
    <row r="166" spans="1:11">
      <c r="A166" s="1" t="s">
        <v>186</v>
      </c>
      <c r="B166" s="1">
        <v>100</v>
      </c>
      <c r="C166" s="1">
        <v>61</v>
      </c>
      <c r="D166" s="1">
        <v>82</v>
      </c>
      <c r="E166" s="1">
        <v>85.9</v>
      </c>
      <c r="F166" s="1" t="s">
        <v>10</v>
      </c>
      <c r="G166" s="1" t="s">
        <v>11</v>
      </c>
      <c r="H166" s="1" t="s">
        <v>19</v>
      </c>
      <c r="I166" s="1" t="s">
        <v>13</v>
      </c>
      <c r="J166" s="8">
        <f t="shared" si="4"/>
        <v>243</v>
      </c>
      <c r="K166" s="8">
        <f t="shared" si="5"/>
        <v>81</v>
      </c>
    </row>
    <row r="167" spans="1:11">
      <c r="A167" s="1" t="s">
        <v>187</v>
      </c>
      <c r="B167" s="1">
        <v>41</v>
      </c>
      <c r="C167" s="1">
        <v>56</v>
      </c>
      <c r="D167" s="1">
        <v>82</v>
      </c>
      <c r="E167" s="1">
        <v>61.5</v>
      </c>
      <c r="F167" s="1" t="s">
        <v>10</v>
      </c>
      <c r="G167" s="1" t="s">
        <v>22</v>
      </c>
      <c r="H167" s="1" t="s">
        <v>12</v>
      </c>
      <c r="I167" s="1" t="s">
        <v>13</v>
      </c>
      <c r="J167" s="8">
        <f t="shared" si="4"/>
        <v>179</v>
      </c>
      <c r="K167" s="8">
        <f t="shared" si="5"/>
        <v>59.666666666666664</v>
      </c>
    </row>
    <row r="168" spans="1:11">
      <c r="A168" s="1" t="s">
        <v>188</v>
      </c>
      <c r="B168" s="1">
        <v>92</v>
      </c>
      <c r="C168" s="1">
        <v>70</v>
      </c>
      <c r="D168" s="1">
        <v>55</v>
      </c>
      <c r="E168" s="1">
        <v>90.4</v>
      </c>
      <c r="F168" s="1" t="s">
        <v>10</v>
      </c>
      <c r="G168" s="1" t="s">
        <v>11</v>
      </c>
      <c r="H168" s="1" t="s">
        <v>16</v>
      </c>
      <c r="I168" s="1" t="s">
        <v>25</v>
      </c>
      <c r="J168" s="8">
        <f t="shared" si="4"/>
        <v>217</v>
      </c>
      <c r="K168" s="8">
        <f t="shared" si="5"/>
        <v>72.333333333333329</v>
      </c>
    </row>
    <row r="169" spans="1:11">
      <c r="A169" s="1" t="s">
        <v>189</v>
      </c>
      <c r="B169" s="1">
        <v>52</v>
      </c>
      <c r="C169" s="1">
        <v>95</v>
      </c>
      <c r="D169" s="1">
        <v>94</v>
      </c>
      <c r="E169" s="1">
        <v>81.08</v>
      </c>
      <c r="F169" s="1" t="s">
        <v>15</v>
      </c>
      <c r="G169" s="1" t="s">
        <v>22</v>
      </c>
      <c r="H169" s="1" t="s">
        <v>19</v>
      </c>
      <c r="I169" s="1" t="s">
        <v>25</v>
      </c>
      <c r="J169" s="8">
        <f t="shared" si="4"/>
        <v>241</v>
      </c>
      <c r="K169" s="8">
        <f t="shared" si="5"/>
        <v>80.333333333333329</v>
      </c>
    </row>
    <row r="170" spans="1:11">
      <c r="A170" s="1" t="s">
        <v>190</v>
      </c>
      <c r="B170" s="1">
        <v>43</v>
      </c>
      <c r="C170" s="1">
        <v>56</v>
      </c>
      <c r="D170" s="1">
        <v>43</v>
      </c>
      <c r="E170" s="1">
        <v>95.03</v>
      </c>
      <c r="F170" s="1" t="s">
        <v>10</v>
      </c>
      <c r="G170" s="1" t="s">
        <v>22</v>
      </c>
      <c r="H170" s="1" t="s">
        <v>12</v>
      </c>
      <c r="I170" s="1" t="s">
        <v>25</v>
      </c>
      <c r="J170" s="8">
        <f t="shared" si="4"/>
        <v>142</v>
      </c>
      <c r="K170" s="8">
        <f t="shared" si="5"/>
        <v>47.333333333333336</v>
      </c>
    </row>
    <row r="171" spans="1:11">
      <c r="A171" s="1" t="s">
        <v>191</v>
      </c>
      <c r="B171" s="1">
        <v>84</v>
      </c>
      <c r="C171" s="1">
        <v>70</v>
      </c>
      <c r="D171" s="1">
        <v>60</v>
      </c>
      <c r="E171" s="1">
        <v>80.83</v>
      </c>
      <c r="F171" s="1" t="s">
        <v>15</v>
      </c>
      <c r="G171" s="1" t="s">
        <v>18</v>
      </c>
      <c r="H171" s="1" t="s">
        <v>19</v>
      </c>
      <c r="I171" s="1" t="s">
        <v>13</v>
      </c>
      <c r="J171" s="8">
        <f t="shared" si="4"/>
        <v>214</v>
      </c>
      <c r="K171" s="8">
        <f t="shared" si="5"/>
        <v>71.333333333333329</v>
      </c>
    </row>
    <row r="172" spans="1:11">
      <c r="A172" s="1" t="s">
        <v>192</v>
      </c>
      <c r="B172" s="1">
        <v>91</v>
      </c>
      <c r="C172" s="1">
        <v>52</v>
      </c>
      <c r="D172" s="1">
        <v>89</v>
      </c>
      <c r="E172" s="1">
        <v>61.4</v>
      </c>
      <c r="F172" s="1" t="s">
        <v>10</v>
      </c>
      <c r="G172" s="1" t="s">
        <v>30</v>
      </c>
      <c r="H172" s="1" t="s">
        <v>16</v>
      </c>
      <c r="I172" s="1" t="s">
        <v>35</v>
      </c>
      <c r="J172" s="8">
        <f t="shared" si="4"/>
        <v>232</v>
      </c>
      <c r="K172" s="8">
        <f t="shared" si="5"/>
        <v>77.333333333333329</v>
      </c>
    </row>
    <row r="173" spans="1:11">
      <c r="A173" s="1" t="s">
        <v>193</v>
      </c>
      <c r="B173" s="1">
        <v>47</v>
      </c>
      <c r="C173" s="1">
        <v>66</v>
      </c>
      <c r="D173" s="1">
        <v>73</v>
      </c>
      <c r="E173" s="1">
        <v>65.739999999999995</v>
      </c>
      <c r="F173" s="1" t="s">
        <v>15</v>
      </c>
      <c r="G173" s="1" t="s">
        <v>30</v>
      </c>
      <c r="H173" s="1" t="s">
        <v>12</v>
      </c>
      <c r="I173" s="1" t="s">
        <v>35</v>
      </c>
      <c r="J173" s="8">
        <f t="shared" si="4"/>
        <v>186</v>
      </c>
      <c r="K173" s="8">
        <f t="shared" si="5"/>
        <v>62</v>
      </c>
    </row>
    <row r="174" spans="1:11">
      <c r="A174" s="1" t="s">
        <v>194</v>
      </c>
      <c r="B174" s="1">
        <v>78</v>
      </c>
      <c r="C174" s="1">
        <v>59</v>
      </c>
      <c r="D174" s="1">
        <v>79</v>
      </c>
      <c r="E174" s="1">
        <v>91.82</v>
      </c>
      <c r="F174" s="1" t="s">
        <v>10</v>
      </c>
      <c r="G174" s="1" t="s">
        <v>18</v>
      </c>
      <c r="H174" s="1" t="s">
        <v>12</v>
      </c>
      <c r="I174" s="1" t="s">
        <v>13</v>
      </c>
      <c r="J174" s="8">
        <f t="shared" si="4"/>
        <v>216</v>
      </c>
      <c r="K174" s="8">
        <f t="shared" si="5"/>
        <v>72</v>
      </c>
    </row>
    <row r="175" spans="1:11">
      <c r="A175" s="1" t="s">
        <v>195</v>
      </c>
      <c r="B175" s="1">
        <v>64</v>
      </c>
      <c r="C175" s="1">
        <v>56</v>
      </c>
      <c r="D175" s="1">
        <v>74</v>
      </c>
      <c r="E175" s="1">
        <v>79.680000000000007</v>
      </c>
      <c r="F175" s="1" t="s">
        <v>15</v>
      </c>
      <c r="G175" s="1" t="s">
        <v>11</v>
      </c>
      <c r="H175" s="1" t="s">
        <v>12</v>
      </c>
      <c r="I175" s="1" t="s">
        <v>35</v>
      </c>
      <c r="J175" s="8">
        <f t="shared" si="4"/>
        <v>194</v>
      </c>
      <c r="K175" s="8">
        <f t="shared" si="5"/>
        <v>64.666666666666671</v>
      </c>
    </row>
    <row r="176" spans="1:11">
      <c r="A176" s="1" t="s">
        <v>196</v>
      </c>
      <c r="B176" s="1">
        <v>46</v>
      </c>
      <c r="C176" s="1">
        <v>68</v>
      </c>
      <c r="D176" s="1">
        <v>52</v>
      </c>
      <c r="E176" s="1">
        <v>77.680000000000007</v>
      </c>
      <c r="F176" s="1" t="s">
        <v>10</v>
      </c>
      <c r="G176" s="1" t="s">
        <v>18</v>
      </c>
      <c r="H176" s="1" t="s">
        <v>16</v>
      </c>
      <c r="I176" s="1" t="s">
        <v>20</v>
      </c>
      <c r="J176" s="8">
        <f t="shared" si="4"/>
        <v>166</v>
      </c>
      <c r="K176" s="8">
        <f t="shared" si="5"/>
        <v>55.333333333333336</v>
      </c>
    </row>
    <row r="177" spans="1:11">
      <c r="A177" s="1" t="s">
        <v>197</v>
      </c>
      <c r="B177" s="1">
        <v>53</v>
      </c>
      <c r="C177" s="1">
        <v>78</v>
      </c>
      <c r="D177" s="1">
        <v>82</v>
      </c>
      <c r="E177" s="1">
        <v>72.739999999999995</v>
      </c>
      <c r="F177" s="1" t="s">
        <v>10</v>
      </c>
      <c r="G177" s="1" t="s">
        <v>11</v>
      </c>
      <c r="H177" s="1" t="s">
        <v>19</v>
      </c>
      <c r="I177" s="1" t="s">
        <v>13</v>
      </c>
      <c r="J177" s="8">
        <f t="shared" si="4"/>
        <v>213</v>
      </c>
      <c r="K177" s="8">
        <f t="shared" si="5"/>
        <v>71</v>
      </c>
    </row>
    <row r="178" spans="1:11">
      <c r="A178" s="1" t="s">
        <v>198</v>
      </c>
      <c r="B178" s="1">
        <v>68</v>
      </c>
      <c r="C178" s="1">
        <v>74</v>
      </c>
      <c r="D178" s="1">
        <v>66</v>
      </c>
      <c r="E178" s="1">
        <v>71.38</v>
      </c>
      <c r="F178" s="1" t="s">
        <v>15</v>
      </c>
      <c r="G178" s="1" t="s">
        <v>22</v>
      </c>
      <c r="H178" s="1" t="s">
        <v>16</v>
      </c>
      <c r="I178" s="1" t="s">
        <v>20</v>
      </c>
      <c r="J178" s="8">
        <f t="shared" si="4"/>
        <v>208</v>
      </c>
      <c r="K178" s="8">
        <f t="shared" si="5"/>
        <v>69.333333333333329</v>
      </c>
    </row>
    <row r="179" spans="1:11">
      <c r="A179" s="1" t="s">
        <v>199</v>
      </c>
      <c r="B179" s="1">
        <v>84</v>
      </c>
      <c r="C179" s="1">
        <v>47</v>
      </c>
      <c r="D179" s="1">
        <v>47</v>
      </c>
      <c r="E179" s="1">
        <v>98.64</v>
      </c>
      <c r="F179" s="1" t="s">
        <v>15</v>
      </c>
      <c r="G179" s="1" t="s">
        <v>22</v>
      </c>
      <c r="H179" s="1" t="s">
        <v>12</v>
      </c>
      <c r="I179" s="1" t="s">
        <v>20</v>
      </c>
      <c r="J179" s="8">
        <f t="shared" si="4"/>
        <v>178</v>
      </c>
      <c r="K179" s="8">
        <f t="shared" si="5"/>
        <v>59.333333333333336</v>
      </c>
    </row>
    <row r="180" spans="1:11">
      <c r="A180" s="1" t="s">
        <v>200</v>
      </c>
      <c r="B180" s="1">
        <v>60</v>
      </c>
      <c r="C180" s="1">
        <v>82</v>
      </c>
      <c r="D180" s="1">
        <v>80</v>
      </c>
      <c r="E180" s="1">
        <v>77.319999999999993</v>
      </c>
      <c r="F180" s="1" t="s">
        <v>15</v>
      </c>
      <c r="G180" s="1" t="s">
        <v>22</v>
      </c>
      <c r="H180" s="1" t="s">
        <v>16</v>
      </c>
      <c r="I180" s="1" t="s">
        <v>20</v>
      </c>
      <c r="J180" s="8">
        <f t="shared" si="4"/>
        <v>222</v>
      </c>
      <c r="K180" s="8">
        <f t="shared" si="5"/>
        <v>74</v>
      </c>
    </row>
    <row r="181" spans="1:11">
      <c r="A181" s="1" t="s">
        <v>201</v>
      </c>
      <c r="B181" s="1">
        <v>76</v>
      </c>
      <c r="C181" s="1">
        <v>77</v>
      </c>
      <c r="D181" s="1">
        <v>81</v>
      </c>
      <c r="E181" s="1">
        <v>95.36</v>
      </c>
      <c r="F181" s="1" t="s">
        <v>10</v>
      </c>
      <c r="G181" s="1" t="s">
        <v>18</v>
      </c>
      <c r="H181" s="1" t="s">
        <v>12</v>
      </c>
      <c r="I181" s="1" t="s">
        <v>25</v>
      </c>
      <c r="J181" s="8">
        <f t="shared" si="4"/>
        <v>234</v>
      </c>
      <c r="K181" s="8">
        <f t="shared" si="5"/>
        <v>78</v>
      </c>
    </row>
    <row r="182" spans="1:11">
      <c r="A182" s="1" t="s">
        <v>202</v>
      </c>
      <c r="B182" s="1">
        <v>95</v>
      </c>
      <c r="C182" s="1">
        <v>54</v>
      </c>
      <c r="D182" s="1">
        <v>68</v>
      </c>
      <c r="E182" s="1">
        <v>85.93</v>
      </c>
      <c r="F182" s="1" t="s">
        <v>15</v>
      </c>
      <c r="G182" s="1" t="s">
        <v>30</v>
      </c>
      <c r="H182" s="1" t="s">
        <v>16</v>
      </c>
      <c r="I182" s="1" t="s">
        <v>20</v>
      </c>
      <c r="J182" s="8">
        <f t="shared" si="4"/>
        <v>217</v>
      </c>
      <c r="K182" s="8">
        <f t="shared" si="5"/>
        <v>72.333333333333329</v>
      </c>
    </row>
    <row r="183" spans="1:11">
      <c r="A183" s="1" t="s">
        <v>203</v>
      </c>
      <c r="B183" s="1">
        <v>88</v>
      </c>
      <c r="C183" s="1">
        <v>89</v>
      </c>
      <c r="D183" s="1">
        <v>55</v>
      </c>
      <c r="E183" s="1">
        <v>94.34</v>
      </c>
      <c r="F183" s="1" t="s">
        <v>10</v>
      </c>
      <c r="G183" s="1" t="s">
        <v>30</v>
      </c>
      <c r="H183" s="1" t="s">
        <v>12</v>
      </c>
      <c r="I183" s="1" t="s">
        <v>25</v>
      </c>
      <c r="J183" s="8">
        <f t="shared" si="4"/>
        <v>232</v>
      </c>
      <c r="K183" s="8">
        <f t="shared" si="5"/>
        <v>77.333333333333329</v>
      </c>
    </row>
    <row r="184" spans="1:11">
      <c r="A184" s="1" t="s">
        <v>204</v>
      </c>
      <c r="B184" s="1">
        <v>72</v>
      </c>
      <c r="C184" s="1">
        <v>40</v>
      </c>
      <c r="D184" s="1">
        <v>82</v>
      </c>
      <c r="E184" s="1">
        <v>94.1</v>
      </c>
      <c r="F184" s="1" t="s">
        <v>10</v>
      </c>
      <c r="G184" s="1" t="s">
        <v>30</v>
      </c>
      <c r="H184" s="1" t="s">
        <v>16</v>
      </c>
      <c r="I184" s="1" t="s">
        <v>13</v>
      </c>
      <c r="J184" s="8">
        <f t="shared" si="4"/>
        <v>194</v>
      </c>
      <c r="K184" s="8">
        <f t="shared" si="5"/>
        <v>64.666666666666671</v>
      </c>
    </row>
    <row r="185" spans="1:11">
      <c r="A185" s="1" t="s">
        <v>205</v>
      </c>
      <c r="B185" s="1">
        <v>97</v>
      </c>
      <c r="C185" s="1">
        <v>72</v>
      </c>
      <c r="D185" s="1">
        <v>92</v>
      </c>
      <c r="E185" s="1">
        <v>98.25</v>
      </c>
      <c r="F185" s="1" t="s">
        <v>10</v>
      </c>
      <c r="G185" s="1" t="s">
        <v>18</v>
      </c>
      <c r="H185" s="1" t="s">
        <v>16</v>
      </c>
      <c r="I185" s="1" t="s">
        <v>25</v>
      </c>
      <c r="J185" s="8">
        <f t="shared" si="4"/>
        <v>261</v>
      </c>
      <c r="K185" s="8">
        <f t="shared" si="5"/>
        <v>87</v>
      </c>
    </row>
    <row r="186" spans="1:11">
      <c r="A186" s="1" t="s">
        <v>206</v>
      </c>
      <c r="B186" s="1">
        <v>80</v>
      </c>
      <c r="C186" s="1">
        <v>42</v>
      </c>
      <c r="D186" s="1">
        <v>85</v>
      </c>
      <c r="E186" s="1">
        <v>87.92</v>
      </c>
      <c r="F186" s="1" t="s">
        <v>15</v>
      </c>
      <c r="G186" s="1" t="s">
        <v>18</v>
      </c>
      <c r="H186" s="1" t="s">
        <v>19</v>
      </c>
      <c r="I186" s="1" t="s">
        <v>35</v>
      </c>
      <c r="J186" s="8">
        <f t="shared" si="4"/>
        <v>207</v>
      </c>
      <c r="K186" s="8">
        <f t="shared" si="5"/>
        <v>69</v>
      </c>
    </row>
    <row r="187" spans="1:11">
      <c r="A187" s="1" t="s">
        <v>207</v>
      </c>
      <c r="B187" s="1">
        <v>64</v>
      </c>
      <c r="C187" s="1">
        <v>78</v>
      </c>
      <c r="D187" s="1">
        <v>44</v>
      </c>
      <c r="E187" s="1">
        <v>92.22</v>
      </c>
      <c r="F187" s="1" t="s">
        <v>15</v>
      </c>
      <c r="G187" s="1" t="s">
        <v>18</v>
      </c>
      <c r="H187" s="1" t="s">
        <v>16</v>
      </c>
      <c r="I187" s="1" t="s">
        <v>20</v>
      </c>
      <c r="J187" s="8">
        <f t="shared" si="4"/>
        <v>186</v>
      </c>
      <c r="K187" s="8">
        <f t="shared" si="5"/>
        <v>62</v>
      </c>
    </row>
    <row r="188" spans="1:11">
      <c r="A188" s="1" t="s">
        <v>208</v>
      </c>
      <c r="B188" s="1">
        <v>92</v>
      </c>
      <c r="C188" s="1">
        <v>77</v>
      </c>
      <c r="D188" s="1">
        <v>76</v>
      </c>
      <c r="E188" s="1">
        <v>89.33</v>
      </c>
      <c r="F188" s="1" t="s">
        <v>10</v>
      </c>
      <c r="G188" s="1" t="s">
        <v>18</v>
      </c>
      <c r="H188" s="1" t="s">
        <v>16</v>
      </c>
      <c r="I188" s="1" t="s">
        <v>20</v>
      </c>
      <c r="J188" s="8">
        <f t="shared" si="4"/>
        <v>245</v>
      </c>
      <c r="K188" s="8">
        <f t="shared" si="5"/>
        <v>81.666666666666671</v>
      </c>
    </row>
    <row r="189" spans="1:11">
      <c r="A189" s="1" t="s">
        <v>209</v>
      </c>
      <c r="B189" s="1">
        <v>98</v>
      </c>
      <c r="C189" s="1">
        <v>87</v>
      </c>
      <c r="D189" s="1">
        <v>79</v>
      </c>
      <c r="E189" s="1">
        <v>84.21</v>
      </c>
      <c r="F189" s="1" t="s">
        <v>15</v>
      </c>
      <c r="G189" s="1" t="s">
        <v>30</v>
      </c>
      <c r="H189" s="1" t="s">
        <v>12</v>
      </c>
      <c r="I189" s="1" t="s">
        <v>35</v>
      </c>
      <c r="J189" s="8">
        <f t="shared" si="4"/>
        <v>264</v>
      </c>
      <c r="K189" s="8">
        <f t="shared" si="5"/>
        <v>88</v>
      </c>
    </row>
    <row r="190" spans="1:11">
      <c r="A190" s="1" t="s">
        <v>210</v>
      </c>
      <c r="B190" s="1">
        <v>98</v>
      </c>
      <c r="C190" s="1">
        <v>54</v>
      </c>
      <c r="D190" s="1">
        <v>79</v>
      </c>
      <c r="E190" s="1">
        <v>88.69</v>
      </c>
      <c r="F190" s="1" t="s">
        <v>15</v>
      </c>
      <c r="G190" s="1" t="s">
        <v>30</v>
      </c>
      <c r="H190" s="1" t="s">
        <v>19</v>
      </c>
      <c r="I190" s="1" t="s">
        <v>25</v>
      </c>
      <c r="J190" s="8">
        <f t="shared" si="4"/>
        <v>231</v>
      </c>
      <c r="K190" s="8">
        <f t="shared" si="5"/>
        <v>77</v>
      </c>
    </row>
    <row r="191" spans="1:11">
      <c r="A191" s="1" t="s">
        <v>211</v>
      </c>
      <c r="B191" s="1">
        <v>85</v>
      </c>
      <c r="C191" s="1">
        <v>100</v>
      </c>
      <c r="D191" s="1">
        <v>81</v>
      </c>
      <c r="E191" s="1">
        <v>88.63</v>
      </c>
      <c r="F191" s="1" t="s">
        <v>15</v>
      </c>
      <c r="G191" s="1" t="s">
        <v>30</v>
      </c>
      <c r="H191" s="1" t="s">
        <v>16</v>
      </c>
      <c r="I191" s="1" t="s">
        <v>20</v>
      </c>
      <c r="J191" s="8">
        <f t="shared" si="4"/>
        <v>266</v>
      </c>
      <c r="K191" s="8">
        <f t="shared" si="5"/>
        <v>88.666666666666671</v>
      </c>
    </row>
    <row r="192" spans="1:11">
      <c r="A192" s="1" t="s">
        <v>212</v>
      </c>
      <c r="B192" s="1">
        <v>53</v>
      </c>
      <c r="C192" s="1">
        <v>81</v>
      </c>
      <c r="D192" s="1">
        <v>99</v>
      </c>
      <c r="E192" s="1">
        <v>61.64</v>
      </c>
      <c r="F192" s="1" t="s">
        <v>15</v>
      </c>
      <c r="G192" s="1" t="s">
        <v>11</v>
      </c>
      <c r="H192" s="1" t="s">
        <v>19</v>
      </c>
      <c r="I192" s="1" t="s">
        <v>25</v>
      </c>
      <c r="J192" s="8">
        <f t="shared" si="4"/>
        <v>233</v>
      </c>
      <c r="K192" s="8">
        <f t="shared" si="5"/>
        <v>77.666666666666671</v>
      </c>
    </row>
    <row r="193" spans="1:11">
      <c r="A193" s="1" t="s">
        <v>213</v>
      </c>
      <c r="B193" s="1">
        <v>48</v>
      </c>
      <c r="C193" s="1">
        <v>57</v>
      </c>
      <c r="D193" s="1">
        <v>49</v>
      </c>
      <c r="E193" s="1">
        <v>80.64</v>
      </c>
      <c r="F193" s="1" t="s">
        <v>10</v>
      </c>
      <c r="G193" s="1" t="s">
        <v>22</v>
      </c>
      <c r="H193" s="1" t="s">
        <v>12</v>
      </c>
      <c r="I193" s="1" t="s">
        <v>35</v>
      </c>
      <c r="J193" s="8">
        <f t="shared" si="4"/>
        <v>154</v>
      </c>
      <c r="K193" s="8">
        <f t="shared" si="5"/>
        <v>51.333333333333336</v>
      </c>
    </row>
    <row r="194" spans="1:11">
      <c r="A194" s="1" t="s">
        <v>214</v>
      </c>
      <c r="B194" s="1">
        <v>54</v>
      </c>
      <c r="C194" s="1">
        <v>77</v>
      </c>
      <c r="D194" s="1">
        <v>54</v>
      </c>
      <c r="E194" s="1">
        <v>91.71</v>
      </c>
      <c r="F194" s="1" t="s">
        <v>10</v>
      </c>
      <c r="G194" s="1" t="s">
        <v>18</v>
      </c>
      <c r="H194" s="1" t="s">
        <v>19</v>
      </c>
      <c r="I194" s="1" t="s">
        <v>20</v>
      </c>
      <c r="J194" s="8">
        <f t="shared" ref="J194:J251" si="6">SUM(B194, C194, D194)</f>
        <v>185</v>
      </c>
      <c r="K194" s="8">
        <f t="shared" ref="K194:K257" si="7">J194/3</f>
        <v>61.666666666666664</v>
      </c>
    </row>
    <row r="195" spans="1:11">
      <c r="A195" s="1" t="s">
        <v>215</v>
      </c>
      <c r="B195" s="1">
        <v>46</v>
      </c>
      <c r="C195" s="1">
        <v>70</v>
      </c>
      <c r="D195" s="1">
        <v>60</v>
      </c>
      <c r="E195" s="1">
        <v>69.72</v>
      </c>
      <c r="F195" s="1" t="s">
        <v>15</v>
      </c>
      <c r="G195" s="1" t="s">
        <v>30</v>
      </c>
      <c r="H195" s="1" t="s">
        <v>12</v>
      </c>
      <c r="I195" s="1" t="s">
        <v>35</v>
      </c>
      <c r="J195" s="8">
        <f t="shared" si="6"/>
        <v>176</v>
      </c>
      <c r="K195" s="8">
        <f t="shared" si="7"/>
        <v>58.666666666666664</v>
      </c>
    </row>
    <row r="196" spans="1:11">
      <c r="A196" s="1" t="s">
        <v>216</v>
      </c>
      <c r="B196" s="1">
        <v>41</v>
      </c>
      <c r="C196" s="1">
        <v>59</v>
      </c>
      <c r="D196" s="1">
        <v>73</v>
      </c>
      <c r="E196" s="1">
        <v>78.61</v>
      </c>
      <c r="F196" s="1" t="s">
        <v>15</v>
      </c>
      <c r="G196" s="1" t="s">
        <v>11</v>
      </c>
      <c r="H196" s="1" t="s">
        <v>19</v>
      </c>
      <c r="I196" s="1" t="s">
        <v>25</v>
      </c>
      <c r="J196" s="8">
        <f t="shared" si="6"/>
        <v>173</v>
      </c>
      <c r="K196" s="8">
        <f t="shared" si="7"/>
        <v>57.666666666666664</v>
      </c>
    </row>
    <row r="197" spans="1:11">
      <c r="A197" s="1" t="s">
        <v>217</v>
      </c>
      <c r="B197" s="1">
        <v>70</v>
      </c>
      <c r="C197" s="1">
        <v>98</v>
      </c>
      <c r="D197" s="1">
        <v>61</v>
      </c>
      <c r="E197" s="1">
        <v>77.400000000000006</v>
      </c>
      <c r="F197" s="1" t="s">
        <v>10</v>
      </c>
      <c r="G197" s="1" t="s">
        <v>22</v>
      </c>
      <c r="H197" s="1" t="s">
        <v>12</v>
      </c>
      <c r="I197" s="1" t="s">
        <v>25</v>
      </c>
      <c r="J197" s="8">
        <f t="shared" si="6"/>
        <v>229</v>
      </c>
      <c r="K197" s="8">
        <f t="shared" si="7"/>
        <v>76.333333333333329</v>
      </c>
    </row>
    <row r="198" spans="1:11">
      <c r="A198" s="1" t="s">
        <v>218</v>
      </c>
      <c r="B198" s="1">
        <v>46</v>
      </c>
      <c r="C198" s="1">
        <v>46</v>
      </c>
      <c r="D198" s="1">
        <v>61</v>
      </c>
      <c r="E198" s="1">
        <v>76.11</v>
      </c>
      <c r="F198" s="1" t="s">
        <v>15</v>
      </c>
      <c r="G198" s="1" t="s">
        <v>22</v>
      </c>
      <c r="H198" s="1" t="s">
        <v>12</v>
      </c>
      <c r="I198" s="1" t="s">
        <v>25</v>
      </c>
      <c r="J198" s="8">
        <f t="shared" si="6"/>
        <v>153</v>
      </c>
      <c r="K198" s="8">
        <f t="shared" si="7"/>
        <v>51</v>
      </c>
    </row>
    <row r="199" spans="1:11">
      <c r="A199" s="1" t="s">
        <v>219</v>
      </c>
      <c r="B199" s="1">
        <v>80</v>
      </c>
      <c r="C199" s="1">
        <v>76</v>
      </c>
      <c r="D199" s="1">
        <v>48</v>
      </c>
      <c r="E199" s="1">
        <v>64.87</v>
      </c>
      <c r="F199" s="1" t="s">
        <v>15</v>
      </c>
      <c r="G199" s="1" t="s">
        <v>18</v>
      </c>
      <c r="H199" s="1" t="s">
        <v>19</v>
      </c>
      <c r="I199" s="1" t="s">
        <v>13</v>
      </c>
      <c r="J199" s="8">
        <f t="shared" si="6"/>
        <v>204</v>
      </c>
      <c r="K199" s="8">
        <f t="shared" si="7"/>
        <v>68</v>
      </c>
    </row>
    <row r="200" spans="1:11">
      <c r="A200" s="1" t="s">
        <v>220</v>
      </c>
      <c r="B200" s="1">
        <v>95</v>
      </c>
      <c r="C200" s="1">
        <v>66</v>
      </c>
      <c r="D200" s="1">
        <v>65</v>
      </c>
      <c r="E200" s="1">
        <v>81.03</v>
      </c>
      <c r="F200" s="1" t="s">
        <v>15</v>
      </c>
      <c r="G200" s="1" t="s">
        <v>22</v>
      </c>
      <c r="H200" s="1" t="s">
        <v>19</v>
      </c>
      <c r="I200" s="1" t="s">
        <v>35</v>
      </c>
      <c r="J200" s="8">
        <f t="shared" si="6"/>
        <v>226</v>
      </c>
      <c r="K200" s="8">
        <f t="shared" si="7"/>
        <v>75.333333333333329</v>
      </c>
    </row>
    <row r="201" spans="1:11">
      <c r="A201" s="1" t="s">
        <v>221</v>
      </c>
      <c r="B201" s="1">
        <v>50</v>
      </c>
      <c r="C201" s="1">
        <v>47</v>
      </c>
      <c r="D201" s="1">
        <v>52</v>
      </c>
      <c r="E201" s="1">
        <v>77.849999999999994</v>
      </c>
      <c r="F201" s="1" t="s">
        <v>10</v>
      </c>
      <c r="G201" s="1" t="s">
        <v>30</v>
      </c>
      <c r="H201" s="1" t="s">
        <v>12</v>
      </c>
      <c r="I201" s="1" t="s">
        <v>25</v>
      </c>
      <c r="J201" s="8">
        <f t="shared" si="6"/>
        <v>149</v>
      </c>
      <c r="K201" s="8">
        <f t="shared" si="7"/>
        <v>49.666666666666664</v>
      </c>
    </row>
    <row r="202" spans="1:11">
      <c r="A202" s="1" t="s">
        <v>222</v>
      </c>
      <c r="B202" s="1">
        <v>52</v>
      </c>
      <c r="C202" s="1">
        <v>53</v>
      </c>
      <c r="D202" s="1">
        <v>93</v>
      </c>
      <c r="E202" s="1">
        <v>86.54</v>
      </c>
      <c r="F202" s="1" t="s">
        <v>15</v>
      </c>
      <c r="G202" s="1" t="s">
        <v>18</v>
      </c>
      <c r="H202" s="1" t="s">
        <v>12</v>
      </c>
      <c r="I202" s="1" t="s">
        <v>25</v>
      </c>
      <c r="J202" s="8">
        <f t="shared" si="6"/>
        <v>198</v>
      </c>
      <c r="K202" s="8">
        <f t="shared" si="7"/>
        <v>66</v>
      </c>
    </row>
    <row r="203" spans="1:11">
      <c r="A203" s="1" t="s">
        <v>223</v>
      </c>
      <c r="B203" s="1">
        <v>52</v>
      </c>
      <c r="C203" s="1">
        <v>89</v>
      </c>
      <c r="D203" s="1">
        <v>57</v>
      </c>
      <c r="E203" s="1">
        <v>81.98</v>
      </c>
      <c r="F203" s="1" t="s">
        <v>15</v>
      </c>
      <c r="G203" s="1" t="s">
        <v>22</v>
      </c>
      <c r="H203" s="1" t="s">
        <v>12</v>
      </c>
      <c r="I203" s="1" t="s">
        <v>13</v>
      </c>
      <c r="J203" s="8">
        <f t="shared" si="6"/>
        <v>198</v>
      </c>
      <c r="K203" s="8">
        <f t="shared" si="7"/>
        <v>66</v>
      </c>
    </row>
    <row r="204" spans="1:11">
      <c r="A204" s="1" t="s">
        <v>224</v>
      </c>
      <c r="B204" s="1">
        <v>65</v>
      </c>
      <c r="C204" s="1">
        <v>54</v>
      </c>
      <c r="D204" s="1">
        <v>40</v>
      </c>
      <c r="E204" s="1">
        <v>61.1</v>
      </c>
      <c r="F204" s="1" t="s">
        <v>15</v>
      </c>
      <c r="G204" s="1" t="s">
        <v>22</v>
      </c>
      <c r="H204" s="1" t="s">
        <v>12</v>
      </c>
      <c r="I204" s="1" t="s">
        <v>13</v>
      </c>
      <c r="J204" s="8">
        <f t="shared" si="6"/>
        <v>159</v>
      </c>
      <c r="K204" s="8">
        <f t="shared" si="7"/>
        <v>53</v>
      </c>
    </row>
    <row r="205" spans="1:11">
      <c r="A205" s="1" t="s">
        <v>225</v>
      </c>
      <c r="B205" s="1">
        <v>82</v>
      </c>
      <c r="C205" s="1">
        <v>46</v>
      </c>
      <c r="D205" s="1">
        <v>62</v>
      </c>
      <c r="E205" s="1">
        <v>61.28</v>
      </c>
      <c r="F205" s="1" t="s">
        <v>10</v>
      </c>
      <c r="G205" s="1" t="s">
        <v>11</v>
      </c>
      <c r="H205" s="1" t="s">
        <v>16</v>
      </c>
      <c r="I205" s="1" t="s">
        <v>35</v>
      </c>
      <c r="J205" s="8">
        <f t="shared" si="6"/>
        <v>190</v>
      </c>
      <c r="K205" s="8">
        <f t="shared" si="7"/>
        <v>63.333333333333336</v>
      </c>
    </row>
    <row r="206" spans="1:11">
      <c r="A206" s="1" t="s">
        <v>226</v>
      </c>
      <c r="B206" s="1">
        <v>99</v>
      </c>
      <c r="C206" s="1">
        <v>72</v>
      </c>
      <c r="D206" s="1">
        <v>72</v>
      </c>
      <c r="E206" s="1">
        <v>88.05</v>
      </c>
      <c r="F206" s="1" t="s">
        <v>10</v>
      </c>
      <c r="G206" s="1" t="s">
        <v>30</v>
      </c>
      <c r="H206" s="1" t="s">
        <v>19</v>
      </c>
      <c r="I206" s="1" t="s">
        <v>35</v>
      </c>
      <c r="J206" s="8">
        <f t="shared" si="6"/>
        <v>243</v>
      </c>
      <c r="K206" s="8">
        <f t="shared" si="7"/>
        <v>81</v>
      </c>
    </row>
    <row r="207" spans="1:11">
      <c r="A207" s="1" t="s">
        <v>227</v>
      </c>
      <c r="B207" s="1">
        <v>89</v>
      </c>
      <c r="C207" s="1">
        <v>91</v>
      </c>
      <c r="D207" s="1">
        <v>86</v>
      </c>
      <c r="E207" s="1">
        <v>88.3</v>
      </c>
      <c r="F207" s="1" t="s">
        <v>10</v>
      </c>
      <c r="G207" s="1" t="s">
        <v>11</v>
      </c>
      <c r="H207" s="1" t="s">
        <v>12</v>
      </c>
      <c r="I207" s="1" t="s">
        <v>25</v>
      </c>
      <c r="J207" s="8">
        <f t="shared" si="6"/>
        <v>266</v>
      </c>
      <c r="K207" s="8">
        <f t="shared" si="7"/>
        <v>88.666666666666671</v>
      </c>
    </row>
    <row r="208" spans="1:11">
      <c r="A208" s="1" t="s">
        <v>228</v>
      </c>
      <c r="B208" s="1">
        <v>47</v>
      </c>
      <c r="C208" s="1">
        <v>73</v>
      </c>
      <c r="D208" s="1">
        <v>70</v>
      </c>
      <c r="E208" s="1">
        <v>98.4</v>
      </c>
      <c r="F208" s="1" t="s">
        <v>10</v>
      </c>
      <c r="G208" s="1" t="s">
        <v>11</v>
      </c>
      <c r="H208" s="1" t="s">
        <v>16</v>
      </c>
      <c r="I208" s="1" t="s">
        <v>35</v>
      </c>
      <c r="J208" s="8">
        <f t="shared" si="6"/>
        <v>190</v>
      </c>
      <c r="K208" s="8">
        <f t="shared" si="7"/>
        <v>63.333333333333336</v>
      </c>
    </row>
    <row r="209" spans="1:11">
      <c r="A209" s="1" t="s">
        <v>229</v>
      </c>
      <c r="B209" s="1">
        <v>53</v>
      </c>
      <c r="C209" s="1">
        <v>43</v>
      </c>
      <c r="D209" s="1">
        <v>97</v>
      </c>
      <c r="E209" s="1">
        <v>95.07</v>
      </c>
      <c r="F209" s="1" t="s">
        <v>10</v>
      </c>
      <c r="G209" s="1" t="s">
        <v>18</v>
      </c>
      <c r="H209" s="1" t="s">
        <v>12</v>
      </c>
      <c r="I209" s="1" t="s">
        <v>13</v>
      </c>
      <c r="J209" s="8">
        <f t="shared" si="6"/>
        <v>193</v>
      </c>
      <c r="K209" s="8">
        <f t="shared" si="7"/>
        <v>64.333333333333329</v>
      </c>
    </row>
    <row r="210" spans="1:11">
      <c r="A210" s="1" t="s">
        <v>230</v>
      </c>
      <c r="B210" s="1">
        <v>84</v>
      </c>
      <c r="C210" s="1">
        <v>40</v>
      </c>
      <c r="D210" s="1">
        <v>60</v>
      </c>
      <c r="E210" s="1">
        <v>78.72</v>
      </c>
      <c r="F210" s="1" t="s">
        <v>10</v>
      </c>
      <c r="G210" s="1" t="s">
        <v>18</v>
      </c>
      <c r="H210" s="1" t="s">
        <v>12</v>
      </c>
      <c r="I210" s="1" t="s">
        <v>20</v>
      </c>
      <c r="J210" s="8">
        <f t="shared" si="6"/>
        <v>184</v>
      </c>
      <c r="K210" s="8">
        <f t="shared" si="7"/>
        <v>61.333333333333336</v>
      </c>
    </row>
    <row r="211" spans="1:11">
      <c r="A211" s="1" t="s">
        <v>231</v>
      </c>
      <c r="B211" s="1">
        <v>99</v>
      </c>
      <c r="C211" s="1">
        <v>80</v>
      </c>
      <c r="D211" s="1">
        <v>62</v>
      </c>
      <c r="E211" s="1">
        <v>85.04</v>
      </c>
      <c r="F211" s="1" t="s">
        <v>15</v>
      </c>
      <c r="G211" s="1" t="s">
        <v>11</v>
      </c>
      <c r="H211" s="1" t="s">
        <v>16</v>
      </c>
      <c r="I211" s="1" t="s">
        <v>25</v>
      </c>
      <c r="J211" s="8">
        <f t="shared" si="6"/>
        <v>241</v>
      </c>
      <c r="K211" s="8">
        <f t="shared" si="7"/>
        <v>80.333333333333329</v>
      </c>
    </row>
    <row r="212" spans="1:11">
      <c r="A212" s="1" t="s">
        <v>232</v>
      </c>
      <c r="B212" s="1">
        <v>41</v>
      </c>
      <c r="C212" s="1">
        <v>53</v>
      </c>
      <c r="D212" s="1">
        <v>55</v>
      </c>
      <c r="E212" s="1">
        <v>78.290000000000006</v>
      </c>
      <c r="F212" s="1" t="s">
        <v>15</v>
      </c>
      <c r="G212" s="1" t="s">
        <v>30</v>
      </c>
      <c r="H212" s="1" t="s">
        <v>12</v>
      </c>
      <c r="I212" s="1" t="s">
        <v>13</v>
      </c>
      <c r="J212" s="8">
        <f t="shared" si="6"/>
        <v>149</v>
      </c>
      <c r="K212" s="8">
        <f t="shared" si="7"/>
        <v>49.666666666666664</v>
      </c>
    </row>
    <row r="213" spans="1:11">
      <c r="A213" s="1" t="s">
        <v>233</v>
      </c>
      <c r="B213" s="1">
        <v>95</v>
      </c>
      <c r="C213" s="1">
        <v>70</v>
      </c>
      <c r="D213" s="1">
        <v>100</v>
      </c>
      <c r="E213" s="1">
        <v>68.92</v>
      </c>
      <c r="F213" s="1" t="s">
        <v>10</v>
      </c>
      <c r="G213" s="1" t="s">
        <v>11</v>
      </c>
      <c r="H213" s="1" t="s">
        <v>16</v>
      </c>
      <c r="I213" s="1" t="s">
        <v>13</v>
      </c>
      <c r="J213" s="8">
        <f t="shared" si="6"/>
        <v>265</v>
      </c>
      <c r="K213" s="8">
        <f t="shared" si="7"/>
        <v>88.333333333333329</v>
      </c>
    </row>
    <row r="214" spans="1:11">
      <c r="A214" s="1" t="s">
        <v>234</v>
      </c>
      <c r="B214" s="1">
        <v>81</v>
      </c>
      <c r="C214" s="1">
        <v>77</v>
      </c>
      <c r="D214" s="1">
        <v>66</v>
      </c>
      <c r="E214" s="1">
        <v>75.069999999999993</v>
      </c>
      <c r="F214" s="1" t="s">
        <v>10</v>
      </c>
      <c r="G214" s="1" t="s">
        <v>18</v>
      </c>
      <c r="H214" s="1" t="s">
        <v>16</v>
      </c>
      <c r="I214" s="1" t="s">
        <v>25</v>
      </c>
      <c r="J214" s="8">
        <f t="shared" si="6"/>
        <v>224</v>
      </c>
      <c r="K214" s="8">
        <f t="shared" si="7"/>
        <v>74.666666666666671</v>
      </c>
    </row>
    <row r="215" spans="1:11">
      <c r="A215" s="1" t="s">
        <v>235</v>
      </c>
      <c r="B215" s="1">
        <v>54</v>
      </c>
      <c r="C215" s="1">
        <v>89</v>
      </c>
      <c r="D215" s="1">
        <v>76</v>
      </c>
      <c r="E215" s="1">
        <v>64.16</v>
      </c>
      <c r="F215" s="1" t="s">
        <v>10</v>
      </c>
      <c r="G215" s="1" t="s">
        <v>18</v>
      </c>
      <c r="H215" s="1" t="s">
        <v>12</v>
      </c>
      <c r="I215" s="1" t="s">
        <v>35</v>
      </c>
      <c r="J215" s="8">
        <f t="shared" si="6"/>
        <v>219</v>
      </c>
      <c r="K215" s="8">
        <f t="shared" si="7"/>
        <v>73</v>
      </c>
    </row>
    <row r="216" spans="1:11">
      <c r="A216" s="1" t="s">
        <v>236</v>
      </c>
      <c r="B216" s="1">
        <v>96</v>
      </c>
      <c r="C216" s="1">
        <v>92</v>
      </c>
      <c r="D216" s="1">
        <v>77</v>
      </c>
      <c r="E216" s="1">
        <v>86.66</v>
      </c>
      <c r="F216" s="1" t="s">
        <v>15</v>
      </c>
      <c r="G216" s="1" t="s">
        <v>22</v>
      </c>
      <c r="H216" s="1" t="s">
        <v>16</v>
      </c>
      <c r="I216" s="1" t="s">
        <v>25</v>
      </c>
      <c r="J216" s="8">
        <f t="shared" si="6"/>
        <v>265</v>
      </c>
      <c r="K216" s="8">
        <f t="shared" si="7"/>
        <v>88.333333333333329</v>
      </c>
    </row>
    <row r="217" spans="1:11">
      <c r="A217" s="1" t="s">
        <v>237</v>
      </c>
      <c r="B217" s="1">
        <v>63</v>
      </c>
      <c r="C217" s="1">
        <v>59</v>
      </c>
      <c r="D217" s="1">
        <v>91</v>
      </c>
      <c r="E217" s="1">
        <v>67.680000000000007</v>
      </c>
      <c r="F217" s="1" t="s">
        <v>10</v>
      </c>
      <c r="G217" s="1" t="s">
        <v>18</v>
      </c>
      <c r="H217" s="1" t="s">
        <v>16</v>
      </c>
      <c r="I217" s="1" t="s">
        <v>13</v>
      </c>
      <c r="J217" s="8">
        <f t="shared" si="6"/>
        <v>213</v>
      </c>
      <c r="K217" s="8">
        <f t="shared" si="7"/>
        <v>71</v>
      </c>
    </row>
    <row r="218" spans="1:11">
      <c r="A218" s="1" t="s">
        <v>238</v>
      </c>
      <c r="B218" s="1">
        <v>73</v>
      </c>
      <c r="C218" s="1">
        <v>42</v>
      </c>
      <c r="D218" s="1">
        <v>53</v>
      </c>
      <c r="E218" s="1">
        <v>79.02</v>
      </c>
      <c r="F218" s="1" t="s">
        <v>10</v>
      </c>
      <c r="G218" s="1" t="s">
        <v>18</v>
      </c>
      <c r="H218" s="1" t="s">
        <v>12</v>
      </c>
      <c r="I218" s="1" t="s">
        <v>35</v>
      </c>
      <c r="J218" s="8">
        <f t="shared" si="6"/>
        <v>168</v>
      </c>
      <c r="K218" s="8">
        <f t="shared" si="7"/>
        <v>56</v>
      </c>
    </row>
    <row r="219" spans="1:11">
      <c r="A219" s="1" t="s">
        <v>239</v>
      </c>
      <c r="B219" s="1">
        <v>43</v>
      </c>
      <c r="C219" s="1">
        <v>74</v>
      </c>
      <c r="D219" s="1">
        <v>76</v>
      </c>
      <c r="E219" s="1">
        <v>98.7</v>
      </c>
      <c r="F219" s="1" t="s">
        <v>10</v>
      </c>
      <c r="G219" s="1" t="s">
        <v>22</v>
      </c>
      <c r="H219" s="1" t="s">
        <v>12</v>
      </c>
      <c r="I219" s="1" t="s">
        <v>13</v>
      </c>
      <c r="J219" s="8">
        <f t="shared" si="6"/>
        <v>193</v>
      </c>
      <c r="K219" s="8">
        <f t="shared" si="7"/>
        <v>64.333333333333329</v>
      </c>
    </row>
    <row r="220" spans="1:11">
      <c r="A220" s="1" t="s">
        <v>240</v>
      </c>
      <c r="B220" s="1">
        <v>57</v>
      </c>
      <c r="C220" s="1">
        <v>85</v>
      </c>
      <c r="D220" s="1">
        <v>86</v>
      </c>
      <c r="E220" s="1">
        <v>61.27</v>
      </c>
      <c r="F220" s="1" t="s">
        <v>10</v>
      </c>
      <c r="G220" s="1" t="s">
        <v>22</v>
      </c>
      <c r="H220" s="1" t="s">
        <v>12</v>
      </c>
      <c r="I220" s="1" t="s">
        <v>25</v>
      </c>
      <c r="J220" s="8">
        <f t="shared" si="6"/>
        <v>228</v>
      </c>
      <c r="K220" s="8">
        <f t="shared" si="7"/>
        <v>76</v>
      </c>
    </row>
    <row r="221" spans="1:11">
      <c r="A221" s="1" t="s">
        <v>241</v>
      </c>
      <c r="B221" s="1">
        <v>64</v>
      </c>
      <c r="C221" s="1">
        <v>72</v>
      </c>
      <c r="D221" s="1">
        <v>46</v>
      </c>
      <c r="E221" s="1">
        <v>66.069999999999993</v>
      </c>
      <c r="F221" s="1" t="s">
        <v>10</v>
      </c>
      <c r="G221" s="1" t="s">
        <v>30</v>
      </c>
      <c r="H221" s="1" t="s">
        <v>16</v>
      </c>
      <c r="I221" s="1" t="s">
        <v>25</v>
      </c>
      <c r="J221" s="8">
        <f t="shared" si="6"/>
        <v>182</v>
      </c>
      <c r="K221" s="8">
        <f t="shared" si="7"/>
        <v>60.666666666666664</v>
      </c>
    </row>
    <row r="222" spans="1:11">
      <c r="A222" s="1" t="s">
        <v>242</v>
      </c>
      <c r="B222" s="1">
        <v>86</v>
      </c>
      <c r="C222" s="1">
        <v>54</v>
      </c>
      <c r="D222" s="1">
        <v>51</v>
      </c>
      <c r="E222" s="1">
        <v>71.94</v>
      </c>
      <c r="F222" s="1" t="s">
        <v>10</v>
      </c>
      <c r="G222" s="1" t="s">
        <v>30</v>
      </c>
      <c r="H222" s="1" t="s">
        <v>19</v>
      </c>
      <c r="I222" s="1" t="s">
        <v>35</v>
      </c>
      <c r="J222" s="8">
        <f t="shared" si="6"/>
        <v>191</v>
      </c>
      <c r="K222" s="8">
        <f t="shared" si="7"/>
        <v>63.666666666666664</v>
      </c>
    </row>
    <row r="223" spans="1:11">
      <c r="A223" s="1" t="s">
        <v>243</v>
      </c>
      <c r="B223" s="1">
        <v>63</v>
      </c>
      <c r="C223" s="1">
        <v>42</v>
      </c>
      <c r="D223" s="1">
        <v>67</v>
      </c>
      <c r="E223" s="1">
        <v>97.67</v>
      </c>
      <c r="F223" s="1" t="s">
        <v>15</v>
      </c>
      <c r="G223" s="1" t="s">
        <v>18</v>
      </c>
      <c r="H223" s="1" t="s">
        <v>16</v>
      </c>
      <c r="I223" s="1" t="s">
        <v>35</v>
      </c>
      <c r="J223" s="8">
        <f t="shared" si="6"/>
        <v>172</v>
      </c>
      <c r="K223" s="8">
        <f t="shared" si="7"/>
        <v>57.333333333333336</v>
      </c>
    </row>
    <row r="224" spans="1:11">
      <c r="A224" s="1" t="s">
        <v>244</v>
      </c>
      <c r="B224" s="1">
        <v>45</v>
      </c>
      <c r="C224" s="1">
        <v>67</v>
      </c>
      <c r="D224" s="1">
        <v>42</v>
      </c>
      <c r="E224" s="1">
        <v>96.35</v>
      </c>
      <c r="F224" s="1" t="s">
        <v>15</v>
      </c>
      <c r="G224" s="1" t="s">
        <v>30</v>
      </c>
      <c r="H224" s="1" t="s">
        <v>16</v>
      </c>
      <c r="I224" s="1" t="s">
        <v>13</v>
      </c>
      <c r="J224" s="8">
        <f t="shared" si="6"/>
        <v>154</v>
      </c>
      <c r="K224" s="8">
        <f t="shared" si="7"/>
        <v>51.333333333333336</v>
      </c>
    </row>
    <row r="225" spans="1:11">
      <c r="A225" s="1" t="s">
        <v>245</v>
      </c>
      <c r="B225" s="1">
        <v>73</v>
      </c>
      <c r="C225" s="1">
        <v>66</v>
      </c>
      <c r="D225" s="1">
        <v>61</v>
      </c>
      <c r="E225" s="1">
        <v>66.48</v>
      </c>
      <c r="F225" s="1" t="s">
        <v>15</v>
      </c>
      <c r="G225" s="1" t="s">
        <v>11</v>
      </c>
      <c r="H225" s="1" t="s">
        <v>16</v>
      </c>
      <c r="I225" s="1" t="s">
        <v>20</v>
      </c>
      <c r="J225" s="8">
        <f t="shared" si="6"/>
        <v>200</v>
      </c>
      <c r="K225" s="8">
        <f t="shared" si="7"/>
        <v>66.666666666666671</v>
      </c>
    </row>
    <row r="226" spans="1:11">
      <c r="A226" s="1" t="s">
        <v>246</v>
      </c>
      <c r="B226" s="1">
        <v>90</v>
      </c>
      <c r="C226" s="1">
        <v>86</v>
      </c>
      <c r="D226" s="1">
        <v>90</v>
      </c>
      <c r="E226" s="1">
        <v>99.24</v>
      </c>
      <c r="F226" s="1" t="s">
        <v>15</v>
      </c>
      <c r="G226" s="1" t="s">
        <v>11</v>
      </c>
      <c r="H226" s="1" t="s">
        <v>16</v>
      </c>
      <c r="I226" s="1" t="s">
        <v>13</v>
      </c>
      <c r="J226" s="8">
        <f t="shared" si="6"/>
        <v>266</v>
      </c>
      <c r="K226" s="8">
        <f t="shared" si="7"/>
        <v>88.666666666666671</v>
      </c>
    </row>
    <row r="227" spans="1:11">
      <c r="A227" s="1" t="s">
        <v>247</v>
      </c>
      <c r="B227" s="1">
        <v>77</v>
      </c>
      <c r="C227" s="1">
        <v>86</v>
      </c>
      <c r="D227" s="1">
        <v>60</v>
      </c>
      <c r="E227" s="1">
        <v>90.03</v>
      </c>
      <c r="F227" s="1" t="s">
        <v>15</v>
      </c>
      <c r="G227" s="1" t="s">
        <v>11</v>
      </c>
      <c r="H227" s="1" t="s">
        <v>12</v>
      </c>
      <c r="I227" s="1" t="s">
        <v>35</v>
      </c>
      <c r="J227" s="8">
        <f t="shared" si="6"/>
        <v>223</v>
      </c>
      <c r="K227" s="8">
        <f t="shared" si="7"/>
        <v>74.333333333333329</v>
      </c>
    </row>
    <row r="228" spans="1:11">
      <c r="A228" s="1" t="s">
        <v>248</v>
      </c>
      <c r="B228" s="1">
        <v>42</v>
      </c>
      <c r="C228" s="1">
        <v>72</v>
      </c>
      <c r="D228" s="1">
        <v>68</v>
      </c>
      <c r="E228" s="1">
        <v>81.599999999999994</v>
      </c>
      <c r="F228" s="1" t="s">
        <v>10</v>
      </c>
      <c r="G228" s="1" t="s">
        <v>11</v>
      </c>
      <c r="H228" s="1" t="s">
        <v>16</v>
      </c>
      <c r="I228" s="1" t="s">
        <v>25</v>
      </c>
      <c r="J228" s="8">
        <f t="shared" si="6"/>
        <v>182</v>
      </c>
      <c r="K228" s="8">
        <f t="shared" si="7"/>
        <v>60.666666666666664</v>
      </c>
    </row>
    <row r="229" spans="1:11">
      <c r="A229" s="1" t="s">
        <v>249</v>
      </c>
      <c r="B229" s="1">
        <v>58</v>
      </c>
      <c r="C229" s="1">
        <v>58</v>
      </c>
      <c r="D229" s="1">
        <v>59</v>
      </c>
      <c r="E229" s="1">
        <v>97.27</v>
      </c>
      <c r="F229" s="1" t="s">
        <v>15</v>
      </c>
      <c r="G229" s="1" t="s">
        <v>11</v>
      </c>
      <c r="H229" s="1" t="s">
        <v>16</v>
      </c>
      <c r="I229" s="1" t="s">
        <v>35</v>
      </c>
      <c r="J229" s="8">
        <f t="shared" si="6"/>
        <v>175</v>
      </c>
      <c r="K229" s="8">
        <f t="shared" si="7"/>
        <v>58.333333333333336</v>
      </c>
    </row>
    <row r="230" spans="1:11">
      <c r="A230" s="1" t="s">
        <v>250</v>
      </c>
      <c r="B230" s="1">
        <v>86</v>
      </c>
      <c r="C230" s="1">
        <v>95</v>
      </c>
      <c r="D230" s="1">
        <v>42</v>
      </c>
      <c r="E230" s="1">
        <v>95.22</v>
      </c>
      <c r="F230" s="1" t="s">
        <v>10</v>
      </c>
      <c r="G230" s="1" t="s">
        <v>22</v>
      </c>
      <c r="H230" s="1" t="s">
        <v>19</v>
      </c>
      <c r="I230" s="1" t="s">
        <v>20</v>
      </c>
      <c r="J230" s="8">
        <f t="shared" si="6"/>
        <v>223</v>
      </c>
      <c r="K230" s="8">
        <f t="shared" si="7"/>
        <v>74.333333333333329</v>
      </c>
    </row>
    <row r="231" spans="1:11">
      <c r="A231" s="1" t="s">
        <v>251</v>
      </c>
      <c r="B231" s="1">
        <v>85</v>
      </c>
      <c r="C231" s="1">
        <v>97</v>
      </c>
      <c r="D231" s="1">
        <v>66</v>
      </c>
      <c r="E231" s="1">
        <v>75.650000000000006</v>
      </c>
      <c r="F231" s="1" t="s">
        <v>10</v>
      </c>
      <c r="G231" s="1" t="s">
        <v>30</v>
      </c>
      <c r="H231" s="1" t="s">
        <v>16</v>
      </c>
      <c r="I231" s="1" t="s">
        <v>20</v>
      </c>
      <c r="J231" s="8">
        <f t="shared" si="6"/>
        <v>248</v>
      </c>
      <c r="K231" s="8">
        <f t="shared" si="7"/>
        <v>82.666666666666671</v>
      </c>
    </row>
    <row r="232" spans="1:11">
      <c r="A232" s="1" t="s">
        <v>252</v>
      </c>
      <c r="B232" s="1">
        <v>97</v>
      </c>
      <c r="C232" s="1">
        <v>72</v>
      </c>
      <c r="D232" s="1">
        <v>60</v>
      </c>
      <c r="E232" s="1">
        <v>86.25</v>
      </c>
      <c r="F232" s="1" t="s">
        <v>10</v>
      </c>
      <c r="G232" s="1" t="s">
        <v>11</v>
      </c>
      <c r="H232" s="1" t="s">
        <v>16</v>
      </c>
      <c r="I232" s="1" t="s">
        <v>13</v>
      </c>
      <c r="J232" s="8">
        <f t="shared" si="6"/>
        <v>229</v>
      </c>
      <c r="K232" s="8">
        <f t="shared" si="7"/>
        <v>76.333333333333329</v>
      </c>
    </row>
    <row r="233" spans="1:11">
      <c r="A233" s="1" t="s">
        <v>253</v>
      </c>
      <c r="B233" s="1">
        <v>75</v>
      </c>
      <c r="C233" s="1">
        <v>70</v>
      </c>
      <c r="D233" s="1">
        <v>80</v>
      </c>
      <c r="E233" s="1">
        <v>85.9</v>
      </c>
      <c r="F233" s="1" t="s">
        <v>10</v>
      </c>
      <c r="G233" s="1" t="s">
        <v>22</v>
      </c>
      <c r="H233" s="1" t="s">
        <v>12</v>
      </c>
      <c r="I233" s="1" t="s">
        <v>35</v>
      </c>
      <c r="J233" s="8">
        <f t="shared" si="6"/>
        <v>225</v>
      </c>
      <c r="K233" s="8">
        <f t="shared" si="7"/>
        <v>75</v>
      </c>
    </row>
    <row r="234" spans="1:11">
      <c r="A234" s="1" t="s">
        <v>254</v>
      </c>
      <c r="B234" s="1">
        <v>58</v>
      </c>
      <c r="C234" s="1">
        <v>43</v>
      </c>
      <c r="D234" s="1">
        <v>72</v>
      </c>
      <c r="E234" s="1">
        <v>73.08</v>
      </c>
      <c r="F234" s="1" t="s">
        <v>10</v>
      </c>
      <c r="G234" s="1" t="s">
        <v>22</v>
      </c>
      <c r="H234" s="1" t="s">
        <v>19</v>
      </c>
      <c r="I234" s="1" t="s">
        <v>25</v>
      </c>
      <c r="J234" s="8">
        <f t="shared" si="6"/>
        <v>173</v>
      </c>
      <c r="K234" s="8">
        <f t="shared" si="7"/>
        <v>57.666666666666664</v>
      </c>
    </row>
    <row r="235" spans="1:11">
      <c r="A235" s="1" t="s">
        <v>255</v>
      </c>
      <c r="B235" s="1">
        <v>67</v>
      </c>
      <c r="C235" s="1">
        <v>71</v>
      </c>
      <c r="D235" s="1">
        <v>69</v>
      </c>
      <c r="E235" s="1">
        <v>67.180000000000007</v>
      </c>
      <c r="F235" s="1" t="s">
        <v>10</v>
      </c>
      <c r="G235" s="1" t="s">
        <v>18</v>
      </c>
      <c r="H235" s="1" t="s">
        <v>19</v>
      </c>
      <c r="I235" s="1" t="s">
        <v>20</v>
      </c>
      <c r="J235" s="8">
        <f t="shared" si="6"/>
        <v>207</v>
      </c>
      <c r="K235" s="8">
        <f t="shared" si="7"/>
        <v>69</v>
      </c>
    </row>
    <row r="236" spans="1:11">
      <c r="A236" s="1" t="s">
        <v>256</v>
      </c>
      <c r="B236" s="1">
        <v>86</v>
      </c>
      <c r="C236" s="1">
        <v>81</v>
      </c>
      <c r="D236" s="1">
        <v>87</v>
      </c>
      <c r="E236" s="1">
        <v>78.67</v>
      </c>
      <c r="F236" s="1" t="s">
        <v>10</v>
      </c>
      <c r="G236" s="1" t="s">
        <v>18</v>
      </c>
      <c r="H236" s="1" t="s">
        <v>16</v>
      </c>
      <c r="I236" s="1" t="s">
        <v>13</v>
      </c>
      <c r="J236" s="8">
        <f t="shared" si="6"/>
        <v>254</v>
      </c>
      <c r="K236" s="8">
        <f t="shared" si="7"/>
        <v>84.666666666666671</v>
      </c>
    </row>
    <row r="237" spans="1:11">
      <c r="A237" s="1" t="s">
        <v>257</v>
      </c>
      <c r="B237" s="1">
        <v>94</v>
      </c>
      <c r="C237" s="1">
        <v>67</v>
      </c>
      <c r="D237" s="1">
        <v>78</v>
      </c>
      <c r="E237" s="1">
        <v>70.53</v>
      </c>
      <c r="F237" s="1" t="s">
        <v>15</v>
      </c>
      <c r="G237" s="1" t="s">
        <v>30</v>
      </c>
      <c r="H237" s="1" t="s">
        <v>19</v>
      </c>
      <c r="I237" s="1" t="s">
        <v>35</v>
      </c>
      <c r="J237" s="8">
        <f t="shared" si="6"/>
        <v>239</v>
      </c>
      <c r="K237" s="8">
        <f t="shared" si="7"/>
        <v>79.666666666666671</v>
      </c>
    </row>
    <row r="238" spans="1:11">
      <c r="A238" s="1" t="s">
        <v>258</v>
      </c>
      <c r="B238" s="1">
        <v>95</v>
      </c>
      <c r="C238" s="1">
        <v>95</v>
      </c>
      <c r="D238" s="1">
        <v>80</v>
      </c>
      <c r="E238" s="1">
        <v>74.2</v>
      </c>
      <c r="F238" s="1" t="s">
        <v>15</v>
      </c>
      <c r="G238" s="1" t="s">
        <v>18</v>
      </c>
      <c r="H238" s="1" t="s">
        <v>19</v>
      </c>
      <c r="I238" s="1" t="s">
        <v>25</v>
      </c>
      <c r="J238" s="8">
        <f t="shared" si="6"/>
        <v>270</v>
      </c>
      <c r="K238" s="8">
        <f t="shared" si="7"/>
        <v>90</v>
      </c>
    </row>
    <row r="239" spans="1:11">
      <c r="A239" s="1" t="s">
        <v>259</v>
      </c>
      <c r="B239" s="1">
        <v>49</v>
      </c>
      <c r="C239" s="1">
        <v>55</v>
      </c>
      <c r="D239" s="1">
        <v>98</v>
      </c>
      <c r="E239" s="1">
        <v>98.17</v>
      </c>
      <c r="F239" s="1" t="s">
        <v>10</v>
      </c>
      <c r="G239" s="1" t="s">
        <v>18</v>
      </c>
      <c r="H239" s="1" t="s">
        <v>19</v>
      </c>
      <c r="I239" s="1" t="s">
        <v>25</v>
      </c>
      <c r="J239" s="8">
        <f t="shared" si="6"/>
        <v>202</v>
      </c>
      <c r="K239" s="8">
        <f t="shared" si="7"/>
        <v>67.333333333333329</v>
      </c>
    </row>
    <row r="240" spans="1:11">
      <c r="A240" s="1" t="s">
        <v>260</v>
      </c>
      <c r="B240" s="1">
        <v>57</v>
      </c>
      <c r="C240" s="1">
        <v>88</v>
      </c>
      <c r="D240" s="1">
        <v>48</v>
      </c>
      <c r="E240" s="1">
        <v>78.45</v>
      </c>
      <c r="F240" s="1" t="s">
        <v>15</v>
      </c>
      <c r="G240" s="1" t="s">
        <v>30</v>
      </c>
      <c r="H240" s="1" t="s">
        <v>16</v>
      </c>
      <c r="I240" s="1" t="s">
        <v>25</v>
      </c>
      <c r="J240" s="8">
        <f t="shared" si="6"/>
        <v>193</v>
      </c>
      <c r="K240" s="8">
        <f t="shared" si="7"/>
        <v>64.333333333333329</v>
      </c>
    </row>
    <row r="241" spans="1:11">
      <c r="A241" s="1" t="s">
        <v>261</v>
      </c>
      <c r="B241" s="1">
        <v>43</v>
      </c>
      <c r="C241" s="1">
        <v>82</v>
      </c>
      <c r="D241" s="1">
        <v>87</v>
      </c>
      <c r="E241" s="1">
        <v>87.4</v>
      </c>
      <c r="F241" s="1" t="s">
        <v>10</v>
      </c>
      <c r="G241" s="1" t="s">
        <v>22</v>
      </c>
      <c r="H241" s="1" t="s">
        <v>19</v>
      </c>
      <c r="I241" s="1" t="s">
        <v>13</v>
      </c>
      <c r="J241" s="8">
        <f t="shared" si="6"/>
        <v>212</v>
      </c>
      <c r="K241" s="8">
        <f t="shared" si="7"/>
        <v>70.666666666666671</v>
      </c>
    </row>
    <row r="242" spans="1:11">
      <c r="A242" s="1" t="s">
        <v>262</v>
      </c>
      <c r="B242" s="1">
        <v>51</v>
      </c>
      <c r="C242" s="1">
        <v>67</v>
      </c>
      <c r="D242" s="1">
        <v>77</v>
      </c>
      <c r="E242" s="1">
        <v>73.45</v>
      </c>
      <c r="F242" s="1" t="s">
        <v>15</v>
      </c>
      <c r="G242" s="1" t="s">
        <v>11</v>
      </c>
      <c r="H242" s="1" t="s">
        <v>19</v>
      </c>
      <c r="I242" s="1" t="s">
        <v>25</v>
      </c>
      <c r="J242" s="8">
        <f t="shared" si="6"/>
        <v>195</v>
      </c>
      <c r="K242" s="8">
        <f t="shared" si="7"/>
        <v>65</v>
      </c>
    </row>
    <row r="243" spans="1:11">
      <c r="A243" s="1" t="s">
        <v>263</v>
      </c>
      <c r="B243" s="1">
        <v>66</v>
      </c>
      <c r="C243" s="1">
        <v>54</v>
      </c>
      <c r="D243" s="1">
        <v>62</v>
      </c>
      <c r="E243" s="1">
        <v>99.83</v>
      </c>
      <c r="F243" s="1" t="s">
        <v>10</v>
      </c>
      <c r="G243" s="1" t="s">
        <v>18</v>
      </c>
      <c r="H243" s="1" t="s">
        <v>19</v>
      </c>
      <c r="I243" s="1" t="s">
        <v>35</v>
      </c>
      <c r="J243" s="8">
        <f t="shared" si="6"/>
        <v>182</v>
      </c>
      <c r="K243" s="8">
        <f t="shared" si="7"/>
        <v>60.666666666666664</v>
      </c>
    </row>
    <row r="244" spans="1:11">
      <c r="A244" s="1" t="s">
        <v>264</v>
      </c>
      <c r="B244" s="1">
        <v>68</v>
      </c>
      <c r="C244" s="1">
        <v>87</v>
      </c>
      <c r="D244" s="1">
        <v>93</v>
      </c>
      <c r="E244" s="1">
        <v>86.35</v>
      </c>
      <c r="F244" s="1" t="s">
        <v>15</v>
      </c>
      <c r="G244" s="1" t="s">
        <v>30</v>
      </c>
      <c r="H244" s="1" t="s">
        <v>12</v>
      </c>
      <c r="I244" s="1" t="s">
        <v>35</v>
      </c>
      <c r="J244" s="8">
        <f t="shared" si="6"/>
        <v>248</v>
      </c>
      <c r="K244" s="8">
        <f t="shared" si="7"/>
        <v>82.666666666666671</v>
      </c>
    </row>
    <row r="245" spans="1:11">
      <c r="A245" s="1" t="s">
        <v>265</v>
      </c>
      <c r="B245" s="1">
        <v>96</v>
      </c>
      <c r="C245" s="1">
        <v>61</v>
      </c>
      <c r="D245" s="1">
        <v>62</v>
      </c>
      <c r="E245" s="1">
        <v>67.84</v>
      </c>
      <c r="F245" s="1" t="s">
        <v>15</v>
      </c>
      <c r="G245" s="1" t="s">
        <v>22</v>
      </c>
      <c r="H245" s="1" t="s">
        <v>12</v>
      </c>
      <c r="I245" s="1" t="s">
        <v>35</v>
      </c>
      <c r="J245" s="8">
        <f t="shared" si="6"/>
        <v>219</v>
      </c>
      <c r="K245" s="8">
        <f t="shared" si="7"/>
        <v>73</v>
      </c>
    </row>
    <row r="246" spans="1:11">
      <c r="A246" s="1" t="s">
        <v>266</v>
      </c>
      <c r="B246" s="1">
        <v>51</v>
      </c>
      <c r="C246" s="1">
        <v>70</v>
      </c>
      <c r="D246" s="1">
        <v>40</v>
      </c>
      <c r="E246" s="1">
        <v>63.93</v>
      </c>
      <c r="F246" s="1" t="s">
        <v>15</v>
      </c>
      <c r="G246" s="1" t="s">
        <v>11</v>
      </c>
      <c r="H246" s="1" t="s">
        <v>16</v>
      </c>
      <c r="I246" s="1" t="s">
        <v>20</v>
      </c>
      <c r="J246" s="8">
        <f t="shared" si="6"/>
        <v>161</v>
      </c>
      <c r="K246" s="8">
        <f t="shared" si="7"/>
        <v>53.666666666666664</v>
      </c>
    </row>
    <row r="247" spans="1:11">
      <c r="A247" s="1" t="s">
        <v>267</v>
      </c>
      <c r="B247" s="1">
        <v>50</v>
      </c>
      <c r="C247" s="1">
        <v>99</v>
      </c>
      <c r="D247" s="1">
        <v>60</v>
      </c>
      <c r="E247" s="1">
        <v>97.73</v>
      </c>
      <c r="F247" s="1" t="s">
        <v>10</v>
      </c>
      <c r="G247" s="1" t="s">
        <v>18</v>
      </c>
      <c r="H247" s="1" t="s">
        <v>12</v>
      </c>
      <c r="I247" s="1" t="s">
        <v>13</v>
      </c>
      <c r="J247" s="8">
        <f t="shared" si="6"/>
        <v>209</v>
      </c>
      <c r="K247" s="8">
        <f t="shared" si="7"/>
        <v>69.666666666666671</v>
      </c>
    </row>
    <row r="248" spans="1:11">
      <c r="A248" s="1" t="s">
        <v>268</v>
      </c>
      <c r="B248" s="1">
        <v>43</v>
      </c>
      <c r="C248" s="1">
        <v>60</v>
      </c>
      <c r="D248" s="1">
        <v>71</v>
      </c>
      <c r="E248" s="1">
        <v>97.79</v>
      </c>
      <c r="F248" s="1" t="s">
        <v>10</v>
      </c>
      <c r="G248" s="1" t="s">
        <v>11</v>
      </c>
      <c r="H248" s="1" t="s">
        <v>16</v>
      </c>
      <c r="I248" s="1" t="s">
        <v>13</v>
      </c>
      <c r="J248" s="8">
        <f t="shared" si="6"/>
        <v>174</v>
      </c>
      <c r="K248" s="8">
        <f t="shared" si="7"/>
        <v>58</v>
      </c>
    </row>
    <row r="249" spans="1:11">
      <c r="A249" s="1" t="s">
        <v>269</v>
      </c>
      <c r="B249" s="1">
        <v>85</v>
      </c>
      <c r="C249" s="1">
        <v>71</v>
      </c>
      <c r="D249" s="1">
        <v>84</v>
      </c>
      <c r="E249" s="1">
        <v>84.85</v>
      </c>
      <c r="F249" s="1" t="s">
        <v>15</v>
      </c>
      <c r="G249" s="1" t="s">
        <v>18</v>
      </c>
      <c r="H249" s="1" t="s">
        <v>12</v>
      </c>
      <c r="I249" s="1" t="s">
        <v>13</v>
      </c>
      <c r="J249" s="8">
        <f t="shared" si="6"/>
        <v>240</v>
      </c>
      <c r="K249" s="8">
        <f t="shared" si="7"/>
        <v>80</v>
      </c>
    </row>
    <row r="250" spans="1:11">
      <c r="A250" s="1" t="s">
        <v>270</v>
      </c>
      <c r="B250" s="1">
        <v>98</v>
      </c>
      <c r="C250" s="1">
        <v>46</v>
      </c>
      <c r="D250" s="1">
        <v>65</v>
      </c>
      <c r="E250" s="1">
        <v>60.68</v>
      </c>
      <c r="F250" s="1" t="s">
        <v>15</v>
      </c>
      <c r="G250" s="1" t="s">
        <v>30</v>
      </c>
      <c r="H250" s="1" t="s">
        <v>16</v>
      </c>
      <c r="I250" s="1" t="s">
        <v>13</v>
      </c>
      <c r="J250" s="8">
        <f t="shared" si="6"/>
        <v>209</v>
      </c>
      <c r="K250" s="8">
        <f t="shared" si="7"/>
        <v>69.666666666666671</v>
      </c>
    </row>
    <row r="251" spans="1:11">
      <c r="A251" s="1" t="s">
        <v>271</v>
      </c>
      <c r="B251" s="1">
        <v>98</v>
      </c>
      <c r="C251" s="1">
        <v>72</v>
      </c>
      <c r="D251" s="1">
        <v>72</v>
      </c>
      <c r="E251" s="1">
        <v>69.02</v>
      </c>
      <c r="F251" s="1" t="s">
        <v>15</v>
      </c>
      <c r="G251" s="1" t="s">
        <v>22</v>
      </c>
      <c r="H251" s="1" t="s">
        <v>19</v>
      </c>
      <c r="I251" s="1" t="s">
        <v>35</v>
      </c>
      <c r="J251" s="8">
        <f t="shared" si="6"/>
        <v>242</v>
      </c>
      <c r="K251" s="8">
        <f t="shared" si="7"/>
        <v>80.666666666666671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zoomScaleNormal="100" workbookViewId="0">
      <selection activeCell="P8" sqref="P8"/>
    </sheetView>
  </sheetViews>
  <sheetFormatPr defaultRowHeight="15"/>
  <cols>
    <col min="1" max="16384" width="9.140625" style="6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pivot_tables</vt:lpstr>
      <vt:lpstr>student_performance_datasheet</vt:lpstr>
      <vt:lpstr>EDA 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 computers</dc:creator>
  <cp:lastModifiedBy>jj computers</cp:lastModifiedBy>
  <dcterms:created xsi:type="dcterms:W3CDTF">2026-03-29T16:36:16Z</dcterms:created>
  <dcterms:modified xsi:type="dcterms:W3CDTF">2026-04-05T11:08:23Z</dcterms:modified>
</cp:coreProperties>
</file>